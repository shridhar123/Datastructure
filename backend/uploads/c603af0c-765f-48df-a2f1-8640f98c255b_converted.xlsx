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NDC11</t>
        </is>
      </c>
      <c r="B1" s="1" t="inlineStr">
        <is>
          <t>Weighted WAC ($)</t>
        </is>
      </c>
      <c r="C1" s="1" t="inlineStr">
        <is>
          <t>Gross Sales ($)</t>
        </is>
      </c>
      <c r="D1" s="1" t="inlineStr">
        <is>
          <t>Gross Sales (Units)</t>
        </is>
      </c>
      <c r="E1" s="1" t="inlineStr">
        <is>
          <t>Gross Sales ($/Unit)</t>
        </is>
      </c>
      <c r="F1" s="1" t="inlineStr">
        <is>
          <t>Direct Sales to Non-Domestic Customers ($)</t>
        </is>
      </c>
      <c r="G1" s="1" t="inlineStr">
        <is>
          <t>Direct Sales to Ineligible Customers (COT) ($)</t>
        </is>
      </c>
      <c r="H1" s="1" t="inlineStr">
        <is>
          <t>Direct Sales to Ineligible Customers (Contract) ($)</t>
        </is>
      </c>
      <c r="I1" s="1" t="inlineStr">
        <is>
          <t>Ineligible Free Goods ($)</t>
        </is>
      </c>
      <c r="J1" s="1" t="inlineStr">
        <is>
          <t>RHAP Sales to 340B Eligible Customers ($)</t>
        </is>
      </c>
      <c r="K1" s="1">
        <f> Eligible Direct Sales ($)</f>
        <v/>
      </c>
      <c r="L1" s="1">
        <f> Eligible Direct Sales (Units)</f>
        <v/>
      </c>
      <c r="M1" s="1">
        <f> Eligible Direct Sales ($/Unit)</f>
        <v/>
      </c>
      <c r="N1" s="1" t="inlineStr">
        <is>
          <t>Smoothed Indirect Ineligible Sales-State ($)</t>
        </is>
      </c>
      <c r="O1" s="1" t="inlineStr">
        <is>
          <t>Smoothed Indirect Ineligible Sales-COT ($)</t>
        </is>
      </c>
      <c r="P1" s="1" t="inlineStr">
        <is>
          <t>Smoothed Indirect Ineligible Sales-Contract ($)</t>
        </is>
      </c>
      <c r="Q1" s="1" t="inlineStr">
        <is>
          <t>Smoothed Indirect Ineligible Sales-Mail Order ($)</t>
        </is>
      </c>
      <c r="R1" s="1" t="inlineStr">
        <is>
          <t>- Smoothed Indirect Ineligible Dollars(ndc11) ($)</t>
        </is>
      </c>
      <c r="S1" s="1">
        <f> AMP Eligible Sales ($)</f>
        <v/>
      </c>
      <c r="T1" s="1">
        <f> AMP Eligible Sales ($/Unit)</f>
        <v/>
      </c>
      <c r="U1" s="1" t="inlineStr">
        <is>
          <t>- Eligible Credits and Adjustments ($)</t>
        </is>
      </c>
      <c r="V1" s="1">
        <f> Adjusted AMP Eligible Sales ($)</f>
        <v/>
      </c>
      <c r="W1" s="1">
        <f> Adjusted AMP Eligible Sales (Units)</f>
        <v/>
      </c>
      <c r="X1" s="1">
        <f> Adjusted AMP Eligible Sales ($/Unit)</f>
        <v/>
      </c>
      <c r="Y1" s="1" t="inlineStr">
        <is>
          <t>Adjusted AMP Eligible Sales (NDC9) ($)</t>
        </is>
      </c>
      <c r="Z1" s="1" t="inlineStr">
        <is>
          <t>Adjusted AMP Eligible Sales (NDC9) (Units)</t>
        </is>
      </c>
      <c r="AA1" s="1" t="inlineStr">
        <is>
          <t>Adjusted AMP Eligible Sales (NDC9) ($/Unit)</t>
        </is>
      </c>
      <c r="AB1" s="1" t="inlineStr">
        <is>
          <t>Smoothed Price Concessions ($)</t>
        </is>
      </c>
      <c r="AC1" s="1" t="inlineStr">
        <is>
          <t>CPPD to Non-Wholesalers ($)</t>
        </is>
      </c>
      <c r="AD1" s="1">
        <f> Net NDC9 AMP Eligible Sales ($)</f>
        <v/>
      </c>
      <c r="AE1" s="1">
        <f> Net NDC9 AMP Eligible Sales (Units)</f>
        <v/>
      </c>
      <c r="AF1" s="1">
        <f> Net NDC9 AMP Eligible Sales ($/Unit)</f>
        <v/>
      </c>
      <c r="AG1" s="1">
        <f> AMP (NDC9) ($)</f>
        <v/>
      </c>
    </row>
    <row r="2">
      <c r="A2" t="inlineStr">
        <is>
          <t>66302001401</t>
        </is>
      </c>
      <c r="B2" t="n">
        <v>17331.46</v>
      </c>
      <c r="C2" t="n">
        <v>27730336</v>
      </c>
      <c r="D2" t="n">
        <v>8000</v>
      </c>
      <c r="E2" t="n">
        <v>3466.292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27730336</v>
      </c>
      <c r="L2" t="n">
        <v>8000</v>
      </c>
      <c r="M2" t="n">
        <v>3466.292</v>
      </c>
      <c r="N2" t="inlineStr"/>
      <c r="O2" t="inlineStr"/>
      <c r="P2" t="n">
        <v>154057.42</v>
      </c>
      <c r="Q2" t="inlineStr"/>
      <c r="R2" t="n">
        <v>27576278.58</v>
      </c>
      <c r="S2" t="n">
        <v>7955.56</v>
      </c>
      <c r="T2" t="n">
        <v>3466.292</v>
      </c>
      <c r="U2" t="n">
        <v>0</v>
      </c>
      <c r="V2" t="n">
        <v>27576278.58</v>
      </c>
      <c r="W2" t="n">
        <v>7955.56</v>
      </c>
      <c r="X2" t="n">
        <v>3466.292</v>
      </c>
      <c r="Y2" t="n">
        <v>27576278.58</v>
      </c>
      <c r="Z2" t="n">
        <v>7955.56</v>
      </c>
      <c r="AA2" t="n">
        <v>3466.292</v>
      </c>
      <c r="AB2" t="n">
        <v>0</v>
      </c>
      <c r="AC2" t="n">
        <v>551525.5699999999</v>
      </c>
      <c r="AD2" t="n">
        <v>27024753.01</v>
      </c>
      <c r="AE2" t="n">
        <v>7955.56</v>
      </c>
      <c r="AF2" t="n">
        <v>3396.96616</v>
      </c>
      <c r="AG2" t="n">
        <v>3396.96616</v>
      </c>
    </row>
    <row r="3">
      <c r="A3" t="inlineStr">
        <is>
          <t>66302010101</t>
        </is>
      </c>
      <c r="B3" t="n">
        <v>1273.32</v>
      </c>
      <c r="C3" t="n">
        <v>4571218.8</v>
      </c>
      <c r="D3" t="n">
        <v>83200</v>
      </c>
      <c r="E3" t="n">
        <v>54.942534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4571218.8</v>
      </c>
      <c r="L3" t="n">
        <v>71800</v>
      </c>
      <c r="M3" t="n">
        <v>63.666</v>
      </c>
      <c r="N3" t="inlineStr"/>
      <c r="O3" t="n">
        <v>109.7</v>
      </c>
      <c r="P3" t="n">
        <v>2387.01</v>
      </c>
      <c r="Q3" t="inlineStr"/>
      <c r="R3" t="n">
        <v>4412262.82</v>
      </c>
      <c r="S3" t="n">
        <v>69303.28</v>
      </c>
      <c r="T3" t="n">
        <v>63.666</v>
      </c>
      <c r="U3" t="n">
        <v>0</v>
      </c>
      <c r="V3" t="n">
        <v>4412262.82</v>
      </c>
      <c r="W3" t="n">
        <v>69303.28</v>
      </c>
      <c r="X3" t="n">
        <v>63.666</v>
      </c>
      <c r="Y3" t="n">
        <v>4412262.82</v>
      </c>
      <c r="Z3" t="n">
        <v>69303.28</v>
      </c>
      <c r="AA3" t="n">
        <v>63.666</v>
      </c>
      <c r="AB3" t="n">
        <v>331090.01</v>
      </c>
      <c r="AC3" t="n">
        <v>88245.25999999999</v>
      </c>
      <c r="AD3" t="n">
        <v>3992927.55</v>
      </c>
      <c r="AE3" t="n">
        <v>69303.28</v>
      </c>
      <c r="AF3" t="n">
        <v>57.615273</v>
      </c>
      <c r="AG3" t="n">
        <v>57.615273</v>
      </c>
    </row>
    <row r="4">
      <c r="A4" t="inlineStr">
        <is>
          <t>66302010201</t>
        </is>
      </c>
      <c r="B4" t="n">
        <v>3183.3</v>
      </c>
      <c r="C4" t="n">
        <v>5952771</v>
      </c>
      <c r="D4" t="n">
        <v>43200</v>
      </c>
      <c r="E4" t="n">
        <v>137.795625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5952771</v>
      </c>
      <c r="L4" t="n">
        <v>37400</v>
      </c>
      <c r="M4" t="n">
        <v>159.165</v>
      </c>
      <c r="N4" t="inlineStr"/>
      <c r="O4" t="n">
        <v>373.27</v>
      </c>
      <c r="P4" t="n">
        <v>1192.65</v>
      </c>
      <c r="Q4" t="inlineStr"/>
      <c r="R4" t="n">
        <v>5703531.32</v>
      </c>
      <c r="S4" t="n">
        <v>35834.08</v>
      </c>
      <c r="T4" t="n">
        <v>159.165</v>
      </c>
      <c r="U4" t="n">
        <v>0</v>
      </c>
      <c r="V4" t="n">
        <v>5703531.32</v>
      </c>
      <c r="W4" t="n">
        <v>35834.08</v>
      </c>
      <c r="X4" t="n">
        <v>159.165</v>
      </c>
      <c r="Y4" t="n">
        <v>5703531.32</v>
      </c>
      <c r="Z4" t="n">
        <v>35834.08</v>
      </c>
      <c r="AA4" t="n">
        <v>159.165</v>
      </c>
      <c r="AB4" t="n">
        <v>435884.93</v>
      </c>
      <c r="AC4" t="n">
        <v>114070.63</v>
      </c>
      <c r="AD4" t="n">
        <v>5153575.76</v>
      </c>
      <c r="AE4" t="n">
        <v>35834.08</v>
      </c>
      <c r="AF4" t="n">
        <v>143.817723</v>
      </c>
      <c r="AG4" t="n">
        <v>143.817723</v>
      </c>
    </row>
    <row r="5">
      <c r="A5" t="inlineStr">
        <is>
          <t>66302010501</t>
        </is>
      </c>
      <c r="B5" t="n">
        <v>6366.6</v>
      </c>
      <c r="C5" t="n">
        <v>11714544</v>
      </c>
      <c r="D5" t="n">
        <v>43600</v>
      </c>
      <c r="E5" t="n">
        <v>268.682202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11714544</v>
      </c>
      <c r="L5" t="n">
        <v>36800</v>
      </c>
      <c r="M5" t="n">
        <v>318.33</v>
      </c>
      <c r="N5" t="inlineStr"/>
      <c r="O5" t="n">
        <v>336.57</v>
      </c>
      <c r="P5" t="n">
        <v>1131.93</v>
      </c>
      <c r="Q5" t="inlineStr"/>
      <c r="R5" t="n">
        <v>11247077.93</v>
      </c>
      <c r="S5" t="n">
        <v>35331.5</v>
      </c>
      <c r="T5" t="n">
        <v>318.33</v>
      </c>
      <c r="U5" t="n">
        <v>0</v>
      </c>
      <c r="V5" t="n">
        <v>11247077.93</v>
      </c>
      <c r="W5" t="n">
        <v>35331.5</v>
      </c>
      <c r="X5" t="n">
        <v>318.33</v>
      </c>
      <c r="Y5" t="n">
        <v>11247077.93</v>
      </c>
      <c r="Z5" t="n">
        <v>35331.5</v>
      </c>
      <c r="AA5" t="n">
        <v>318.33</v>
      </c>
      <c r="AB5" t="n">
        <v>822599.34</v>
      </c>
      <c r="AC5" t="n">
        <v>224941.56</v>
      </c>
      <c r="AD5" t="n">
        <v>10199537.03</v>
      </c>
      <c r="AE5" t="n">
        <v>35331.5</v>
      </c>
      <c r="AF5" t="n">
        <v>288.681082</v>
      </c>
      <c r="AG5" t="n">
        <v>288.681082</v>
      </c>
    </row>
    <row r="6">
      <c r="A6" t="inlineStr">
        <is>
          <t>66302011001</t>
        </is>
      </c>
      <c r="B6" t="n">
        <v>12733.2</v>
      </c>
      <c r="C6" t="n">
        <v>29541024</v>
      </c>
      <c r="D6" t="n">
        <v>53000</v>
      </c>
      <c r="E6" t="n">
        <v>557.377811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29541024</v>
      </c>
      <c r="L6" t="n">
        <v>46400</v>
      </c>
      <c r="M6" t="n">
        <v>636.66</v>
      </c>
      <c r="N6" t="inlineStr"/>
      <c r="O6" t="n">
        <v>342.9</v>
      </c>
      <c r="P6" t="n">
        <v>1932</v>
      </c>
      <c r="Q6" t="inlineStr"/>
      <c r="R6" t="n">
        <v>28092684.33</v>
      </c>
      <c r="S6" t="n">
        <v>44125.1</v>
      </c>
      <c r="T6" t="n">
        <v>636.66</v>
      </c>
      <c r="U6" t="n">
        <v>0</v>
      </c>
      <c r="V6" t="n">
        <v>28092684.33</v>
      </c>
      <c r="W6" t="n">
        <v>44125.1</v>
      </c>
      <c r="X6" t="n">
        <v>636.66</v>
      </c>
      <c r="Y6" t="n">
        <v>28092684.33</v>
      </c>
      <c r="Z6" t="n">
        <v>44125.1</v>
      </c>
      <c r="AA6" t="n">
        <v>636.66</v>
      </c>
      <c r="AB6" t="n">
        <v>1984872</v>
      </c>
      <c r="AC6" t="n">
        <v>561853.6899999999</v>
      </c>
      <c r="AD6" t="n">
        <v>25545958.64</v>
      </c>
      <c r="AE6" t="n">
        <v>44125.1</v>
      </c>
      <c r="AF6" t="n">
        <v>578.9439640000001</v>
      </c>
      <c r="AG6" t="n">
        <v>578.9439640000001</v>
      </c>
    </row>
    <row r="7">
      <c r="A7" t="inlineStr">
        <is>
          <t>66302015050</t>
        </is>
      </c>
      <c r="B7" t="n">
        <v>12.63</v>
      </c>
      <c r="C7" t="n">
        <v>471856.8</v>
      </c>
      <c r="D7" t="n">
        <v>2240000</v>
      </c>
      <c r="E7" t="n">
        <v>0.21065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471856.8</v>
      </c>
      <c r="L7" t="n">
        <v>1868000</v>
      </c>
      <c r="M7" t="n">
        <v>0.2526</v>
      </c>
      <c r="N7" t="inlineStr"/>
      <c r="O7" t="n">
        <v>3087.04</v>
      </c>
      <c r="P7" t="n">
        <v>779.79</v>
      </c>
      <c r="Q7" t="inlineStr"/>
      <c r="R7" t="n">
        <v>471077.01</v>
      </c>
      <c r="S7" t="n">
        <v>1864912.96</v>
      </c>
      <c r="T7" t="n">
        <v>0.2526</v>
      </c>
      <c r="U7" t="n">
        <v>0</v>
      </c>
      <c r="V7" t="n">
        <v>471077.01</v>
      </c>
      <c r="W7" t="n">
        <v>1864912.96</v>
      </c>
      <c r="X7" t="n">
        <v>0.2526</v>
      </c>
      <c r="Y7" t="n">
        <v>471077.01</v>
      </c>
      <c r="Z7" t="n">
        <v>1864912.96</v>
      </c>
      <c r="AA7" t="n">
        <v>0.2526</v>
      </c>
      <c r="AB7" t="n">
        <v>0</v>
      </c>
      <c r="AC7" t="n">
        <v>9421.540000000001</v>
      </c>
      <c r="AD7" t="n">
        <v>461655.47</v>
      </c>
      <c r="AE7" t="n">
        <v>1864912.96</v>
      </c>
      <c r="AF7" t="n">
        <v>0.247548</v>
      </c>
      <c r="AG7" t="n">
        <v>0.247548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2025-11-03T15:41:51Z</dcterms:created>
  <dcterms:modified xsi:type="dcterms:W3CDTF">2025-11-03T15:41:51Z</dcterms:modified>
</cp:coreProperties>
</file>