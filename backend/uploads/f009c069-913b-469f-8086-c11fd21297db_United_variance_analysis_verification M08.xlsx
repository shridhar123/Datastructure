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tegrichain-my.sharepoint.com/personal/sumarani_integrichain_com/Documents/Documents/United/M08 Extracts/"/>
    </mc:Choice>
  </mc:AlternateContent>
  <xr:revisionPtr revIDLastSave="23" documentId="13_ncr:1_{EA99277C-3C7A-45B4-8393-995E53A7D851}" xr6:coauthVersionLast="47" xr6:coauthVersionMax="47" xr10:uidLastSave="{FB282463-AC03-4E05-A7F4-419CD28836D8}"/>
  <bookViews>
    <workbookView xWindow="-110" yWindow="-110" windowWidth="19420" windowHeight="10300" firstSheet="3" activeTab="5" xr2:uid="{00000000-000D-0000-FFFF-FFFF00000000}"/>
  </bookViews>
  <sheets>
    <sheet name="Mapping" sheetId="1" r:id="rId1"/>
    <sheet name="United MAMP All Components" sheetId="5" r:id="rId2"/>
    <sheet name="United Smoothed Indirect Inelig" sheetId="6" r:id="rId3"/>
    <sheet name="United_Smoothed Price Concessio" sheetId="7" r:id="rId4"/>
    <sheet name="Icyte Report" sheetId="8" r:id="rId5"/>
    <sheet name="Verification" sheetId="4" r:id="rId6"/>
  </sheets>
  <externalReferences>
    <externalReference r:id="rId7"/>
  </externalReferences>
  <definedNames>
    <definedName name="_xlnm._FilterDatabase" localSheetId="4" hidden="1">'Icyte Report'!$A$5:$DX$60</definedName>
    <definedName name="_xlnm._FilterDatabase" localSheetId="5" hidden="1">Verification!$A$4:$DE$59</definedName>
    <definedName name="dateperiod">[1]!Table1[period]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58" i="4" l="1"/>
  <c r="CB59" i="4"/>
  <c r="CB58" i="4"/>
  <c r="CB57" i="4"/>
  <c r="CB56" i="4"/>
  <c r="CB55" i="4"/>
  <c r="CB54" i="4"/>
  <c r="CB53" i="4"/>
  <c r="CB52" i="4"/>
  <c r="CB51" i="4"/>
  <c r="CB50" i="4"/>
  <c r="CB49" i="4"/>
  <c r="CB48" i="4"/>
  <c r="CB47" i="4"/>
  <c r="CB46" i="4"/>
  <c r="CB45" i="4"/>
  <c r="CB44" i="4"/>
  <c r="CB43" i="4"/>
  <c r="CB42" i="4"/>
  <c r="CB41" i="4"/>
  <c r="CB40" i="4"/>
  <c r="CB39" i="4"/>
  <c r="CB38" i="4"/>
  <c r="CB37" i="4"/>
  <c r="CB36" i="4"/>
  <c r="CB35" i="4"/>
  <c r="CB34" i="4"/>
  <c r="CB33" i="4"/>
  <c r="CB32" i="4"/>
  <c r="CB31" i="4"/>
  <c r="CB30" i="4"/>
  <c r="CB29" i="4"/>
  <c r="CB28" i="4"/>
  <c r="CB27" i="4"/>
  <c r="CB26" i="4"/>
  <c r="CB25" i="4"/>
  <c r="CB24" i="4"/>
  <c r="CB23" i="4"/>
  <c r="CB22" i="4"/>
  <c r="CB21" i="4"/>
  <c r="CB20" i="4"/>
  <c r="CB19" i="4"/>
  <c r="CB18" i="4"/>
  <c r="CB17" i="4"/>
  <c r="CB16" i="4"/>
  <c r="CB15" i="4"/>
  <c r="CB14" i="4"/>
  <c r="CB13" i="4"/>
  <c r="CB12" i="4"/>
  <c r="CB11" i="4"/>
  <c r="CB10" i="4"/>
  <c r="CB9" i="4"/>
  <c r="CB8" i="4"/>
  <c r="CB7" i="4"/>
  <c r="CB6" i="4"/>
  <c r="CB5" i="4"/>
  <c r="BQ59" i="4"/>
  <c r="BQ56" i="4"/>
  <c r="BQ53" i="4"/>
  <c r="BQ52" i="4"/>
  <c r="BQ51" i="4"/>
  <c r="BQ50" i="4"/>
  <c r="BQ49" i="4"/>
  <c r="BQ48" i="4"/>
  <c r="BQ47" i="4"/>
  <c r="BQ46" i="4"/>
  <c r="BQ45" i="4"/>
  <c r="BQ44" i="4"/>
  <c r="BQ43" i="4"/>
  <c r="BQ42" i="4"/>
  <c r="BQ41" i="4"/>
  <c r="BQ40" i="4"/>
  <c r="BQ39" i="4"/>
  <c r="BQ38" i="4"/>
  <c r="BQ37" i="4"/>
  <c r="BQ36" i="4"/>
  <c r="BQ35" i="4"/>
  <c r="BQ34" i="4"/>
  <c r="BQ33" i="4"/>
  <c r="BQ32" i="4"/>
  <c r="BQ31" i="4"/>
  <c r="BQ30" i="4"/>
  <c r="BQ29" i="4"/>
  <c r="BQ28" i="4"/>
  <c r="BQ27" i="4"/>
  <c r="BQ26" i="4"/>
  <c r="BQ25" i="4"/>
  <c r="BQ24" i="4"/>
  <c r="BQ23" i="4"/>
  <c r="BQ22" i="4"/>
  <c r="BQ21" i="4"/>
  <c r="BQ20" i="4"/>
  <c r="BQ19" i="4"/>
  <c r="BQ18" i="4"/>
  <c r="BQ17" i="4"/>
  <c r="BQ16" i="4"/>
  <c r="BQ15" i="4"/>
  <c r="BQ14" i="4"/>
  <c r="BQ13" i="4"/>
  <c r="BQ12" i="4"/>
  <c r="BQ11" i="4"/>
  <c r="BQ10" i="4"/>
  <c r="BQ9" i="4"/>
  <c r="BQ8" i="4"/>
  <c r="BQ7" i="4"/>
  <c r="BQ6" i="4"/>
  <c r="BQ5" i="4"/>
  <c r="BB59" i="4"/>
  <c r="BB58" i="4"/>
  <c r="BB57" i="4"/>
  <c r="BB56" i="4"/>
  <c r="BB55" i="4"/>
  <c r="BB54" i="4"/>
  <c r="BB53" i="4"/>
  <c r="BB52" i="4"/>
  <c r="BB51" i="4"/>
  <c r="BB50" i="4"/>
  <c r="BB49" i="4"/>
  <c r="BB48" i="4"/>
  <c r="BB47" i="4"/>
  <c r="BB46" i="4"/>
  <c r="BB45" i="4"/>
  <c r="BB44" i="4"/>
  <c r="BB43" i="4"/>
  <c r="BB42" i="4"/>
  <c r="BB41" i="4"/>
  <c r="BB40" i="4"/>
  <c r="BB39" i="4"/>
  <c r="BB38" i="4"/>
  <c r="BB37" i="4"/>
  <c r="BB36" i="4"/>
  <c r="BB35" i="4"/>
  <c r="BB34" i="4"/>
  <c r="BB33" i="4"/>
  <c r="BB32" i="4"/>
  <c r="BB31" i="4"/>
  <c r="BB30" i="4"/>
  <c r="BB29" i="4"/>
  <c r="BB28" i="4"/>
  <c r="BB27" i="4"/>
  <c r="BB26" i="4"/>
  <c r="BB25" i="4"/>
  <c r="BB24" i="4"/>
  <c r="BB23" i="4"/>
  <c r="BB22" i="4"/>
  <c r="BB21" i="4"/>
  <c r="BB20" i="4"/>
  <c r="BB19" i="4"/>
  <c r="BB18" i="4"/>
  <c r="BB17" i="4"/>
  <c r="BB16" i="4"/>
  <c r="BB15" i="4"/>
  <c r="BB14" i="4"/>
  <c r="BB13" i="4"/>
  <c r="BB12" i="4"/>
  <c r="BB11" i="4"/>
  <c r="BB10" i="4"/>
  <c r="BB9" i="4"/>
  <c r="BB8" i="4"/>
  <c r="BB7" i="4"/>
  <c r="BB6" i="4"/>
  <c r="BB5" i="4"/>
  <c r="AZ59" i="4"/>
  <c r="AZ58" i="4"/>
  <c r="AZ57" i="4"/>
  <c r="AZ56" i="4"/>
  <c r="AZ55" i="4"/>
  <c r="AZ54" i="4"/>
  <c r="AZ53" i="4"/>
  <c r="AZ52" i="4"/>
  <c r="AZ51" i="4"/>
  <c r="AZ50" i="4"/>
  <c r="AZ49" i="4"/>
  <c r="AZ48" i="4"/>
  <c r="AZ47" i="4"/>
  <c r="AZ46" i="4"/>
  <c r="AZ45" i="4"/>
  <c r="AZ44" i="4"/>
  <c r="AZ43" i="4"/>
  <c r="AZ42" i="4"/>
  <c r="AZ41" i="4"/>
  <c r="AZ40" i="4"/>
  <c r="AZ39" i="4"/>
  <c r="AZ38" i="4"/>
  <c r="AZ37" i="4"/>
  <c r="AZ36" i="4"/>
  <c r="AZ35" i="4"/>
  <c r="AZ34" i="4"/>
  <c r="AZ33" i="4"/>
  <c r="AZ32" i="4"/>
  <c r="AZ31" i="4"/>
  <c r="AZ30" i="4"/>
  <c r="AZ29" i="4"/>
  <c r="AZ28" i="4"/>
  <c r="AZ27" i="4"/>
  <c r="AZ26" i="4"/>
  <c r="AZ25" i="4"/>
  <c r="AZ24" i="4"/>
  <c r="AZ23" i="4"/>
  <c r="AZ22" i="4"/>
  <c r="AZ21" i="4"/>
  <c r="AZ20" i="4"/>
  <c r="AZ19" i="4"/>
  <c r="AZ18" i="4"/>
  <c r="AZ17" i="4"/>
  <c r="AZ16" i="4"/>
  <c r="AZ15" i="4"/>
  <c r="AZ14" i="4"/>
  <c r="AZ13" i="4"/>
  <c r="AZ12" i="4"/>
  <c r="AZ11" i="4"/>
  <c r="AZ10" i="4"/>
  <c r="AZ9" i="4"/>
  <c r="AZ8" i="4"/>
  <c r="AZ7" i="4"/>
  <c r="AZ6" i="4"/>
  <c r="AZ5" i="4"/>
  <c r="CO59" i="4"/>
  <c r="CO58" i="4"/>
  <c r="CO57" i="4"/>
  <c r="CO56" i="4"/>
  <c r="CO55" i="4"/>
  <c r="CO54" i="4"/>
  <c r="CO53" i="4"/>
  <c r="CO52" i="4"/>
  <c r="CO51" i="4"/>
  <c r="CO50" i="4"/>
  <c r="CO49" i="4"/>
  <c r="CO48" i="4"/>
  <c r="CO47" i="4"/>
  <c r="CO46" i="4"/>
  <c r="CO45" i="4"/>
  <c r="CO44" i="4"/>
  <c r="CO43" i="4"/>
  <c r="CO42" i="4"/>
  <c r="CO41" i="4"/>
  <c r="CO40" i="4"/>
  <c r="CO39" i="4"/>
  <c r="CO38" i="4"/>
  <c r="CO37" i="4"/>
  <c r="CO36" i="4"/>
  <c r="CO35" i="4"/>
  <c r="CO34" i="4"/>
  <c r="CO33" i="4"/>
  <c r="CO32" i="4"/>
  <c r="CO31" i="4"/>
  <c r="CO30" i="4"/>
  <c r="CO29" i="4"/>
  <c r="CO28" i="4"/>
  <c r="CO27" i="4"/>
  <c r="CO26" i="4"/>
  <c r="CO25" i="4"/>
  <c r="CO24" i="4"/>
  <c r="CO23" i="4"/>
  <c r="CO22" i="4"/>
  <c r="CO21" i="4"/>
  <c r="CO20" i="4"/>
  <c r="CO19" i="4"/>
  <c r="CO18" i="4"/>
  <c r="CO17" i="4"/>
  <c r="CO16" i="4"/>
  <c r="CO15" i="4"/>
  <c r="CO14" i="4"/>
  <c r="CO13" i="4"/>
  <c r="CO12" i="4"/>
  <c r="CO11" i="4"/>
  <c r="CO10" i="4"/>
  <c r="CO9" i="4"/>
  <c r="CO8" i="4"/>
  <c r="CO7" i="4"/>
  <c r="CO6" i="4"/>
  <c r="CO5" i="4"/>
  <c r="CR59" i="4"/>
  <c r="CR58" i="4"/>
  <c r="CR57" i="4"/>
  <c r="CR56" i="4"/>
  <c r="CR55" i="4"/>
  <c r="CR54" i="4"/>
  <c r="CR53" i="4"/>
  <c r="CR52" i="4"/>
  <c r="CR51" i="4"/>
  <c r="CR50" i="4"/>
  <c r="CR49" i="4"/>
  <c r="CR48" i="4"/>
  <c r="CR47" i="4"/>
  <c r="CR46" i="4"/>
  <c r="CR45" i="4"/>
  <c r="CR44" i="4"/>
  <c r="CR43" i="4"/>
  <c r="CR42" i="4"/>
  <c r="CR41" i="4"/>
  <c r="CR40" i="4"/>
  <c r="CR39" i="4"/>
  <c r="CR38" i="4"/>
  <c r="CR37" i="4"/>
  <c r="CR36" i="4"/>
  <c r="CR35" i="4"/>
  <c r="CR34" i="4"/>
  <c r="CR33" i="4"/>
  <c r="CR32" i="4"/>
  <c r="CR31" i="4"/>
  <c r="CR30" i="4"/>
  <c r="CR29" i="4"/>
  <c r="CR28" i="4"/>
  <c r="CR27" i="4"/>
  <c r="CR26" i="4"/>
  <c r="CR25" i="4"/>
  <c r="CR24" i="4"/>
  <c r="CR23" i="4"/>
  <c r="CR22" i="4"/>
  <c r="CR21" i="4"/>
  <c r="CR20" i="4"/>
  <c r="CR19" i="4"/>
  <c r="CR18" i="4"/>
  <c r="CR17" i="4"/>
  <c r="CR16" i="4"/>
  <c r="CR15" i="4"/>
  <c r="CR14" i="4"/>
  <c r="CR13" i="4"/>
  <c r="CR12" i="4"/>
  <c r="CR11" i="4"/>
  <c r="CR10" i="4"/>
  <c r="CR9" i="4"/>
  <c r="CR8" i="4"/>
  <c r="CR7" i="4"/>
  <c r="CR6" i="4"/>
  <c r="CR5" i="4"/>
  <c r="BW59" i="4"/>
  <c r="BW58" i="4"/>
  <c r="BW57" i="4"/>
  <c r="BW56" i="4"/>
  <c r="BW55" i="4"/>
  <c r="BW54" i="4"/>
  <c r="BW53" i="4"/>
  <c r="BW52" i="4"/>
  <c r="BW51" i="4"/>
  <c r="BW50" i="4"/>
  <c r="BW49" i="4"/>
  <c r="BW48" i="4"/>
  <c r="BW47" i="4"/>
  <c r="BW46" i="4"/>
  <c r="BW45" i="4"/>
  <c r="BW44" i="4"/>
  <c r="BW43" i="4"/>
  <c r="BW42" i="4"/>
  <c r="BW41" i="4"/>
  <c r="BW40" i="4"/>
  <c r="BW39" i="4"/>
  <c r="BW38" i="4"/>
  <c r="BW37" i="4"/>
  <c r="BW36" i="4"/>
  <c r="BW35" i="4"/>
  <c r="BW34" i="4"/>
  <c r="BW33" i="4"/>
  <c r="BW32" i="4"/>
  <c r="BW31" i="4"/>
  <c r="BW30" i="4"/>
  <c r="BW29" i="4"/>
  <c r="BW28" i="4"/>
  <c r="BW27" i="4"/>
  <c r="BW26" i="4"/>
  <c r="BW25" i="4"/>
  <c r="BW24" i="4"/>
  <c r="BW23" i="4"/>
  <c r="BW22" i="4"/>
  <c r="BW21" i="4"/>
  <c r="BW20" i="4"/>
  <c r="BW19" i="4"/>
  <c r="BW18" i="4"/>
  <c r="BW17" i="4"/>
  <c r="BW16" i="4"/>
  <c r="BW15" i="4"/>
  <c r="BW14" i="4"/>
  <c r="BW13" i="4"/>
  <c r="BW12" i="4"/>
  <c r="BW11" i="4"/>
  <c r="BW10" i="4"/>
  <c r="BW9" i="4"/>
  <c r="BW8" i="4"/>
  <c r="BW7" i="4"/>
  <c r="BW6" i="4"/>
  <c r="BW5" i="4"/>
  <c r="BT59" i="4"/>
  <c r="BT58" i="4"/>
  <c r="BT57" i="4"/>
  <c r="BT56" i="4"/>
  <c r="BT55" i="4"/>
  <c r="BT54" i="4"/>
  <c r="BT53" i="4"/>
  <c r="BT52" i="4"/>
  <c r="BT51" i="4"/>
  <c r="BT50" i="4"/>
  <c r="BT49" i="4"/>
  <c r="BT48" i="4"/>
  <c r="BT47" i="4"/>
  <c r="BT46" i="4"/>
  <c r="BT45" i="4"/>
  <c r="BT44" i="4"/>
  <c r="BT43" i="4"/>
  <c r="BT42" i="4"/>
  <c r="BT41" i="4"/>
  <c r="BT40" i="4"/>
  <c r="BT39" i="4"/>
  <c r="BT38" i="4"/>
  <c r="BT37" i="4"/>
  <c r="BT36" i="4"/>
  <c r="BT35" i="4"/>
  <c r="BT34" i="4"/>
  <c r="BT33" i="4"/>
  <c r="BT32" i="4"/>
  <c r="BT31" i="4"/>
  <c r="BT30" i="4"/>
  <c r="BT29" i="4"/>
  <c r="BT28" i="4"/>
  <c r="BT27" i="4"/>
  <c r="BT26" i="4"/>
  <c r="BT25" i="4"/>
  <c r="BT24" i="4"/>
  <c r="BT23" i="4"/>
  <c r="BT22" i="4"/>
  <c r="BT21" i="4"/>
  <c r="BT20" i="4"/>
  <c r="BT19" i="4"/>
  <c r="BT18" i="4"/>
  <c r="BT17" i="4"/>
  <c r="BT16" i="4"/>
  <c r="BT15" i="4"/>
  <c r="BT14" i="4"/>
  <c r="BT13" i="4"/>
  <c r="BT12" i="4"/>
  <c r="BT11" i="4"/>
  <c r="BT10" i="4"/>
  <c r="BT9" i="4"/>
  <c r="BT8" i="4"/>
  <c r="BT7" i="4"/>
  <c r="BT6" i="4"/>
  <c r="BT5" i="4"/>
  <c r="AW59" i="4"/>
  <c r="AW58" i="4"/>
  <c r="AW57" i="4"/>
  <c r="AW56" i="4"/>
  <c r="AW55" i="4"/>
  <c r="AW54" i="4"/>
  <c r="AW53" i="4"/>
  <c r="AW52" i="4"/>
  <c r="AW51" i="4"/>
  <c r="AW50" i="4"/>
  <c r="AW49" i="4"/>
  <c r="AW48" i="4"/>
  <c r="AW47" i="4"/>
  <c r="AW46" i="4"/>
  <c r="AW45" i="4"/>
  <c r="AW44" i="4"/>
  <c r="AW43" i="4"/>
  <c r="AW42" i="4"/>
  <c r="AW41" i="4"/>
  <c r="AW40" i="4"/>
  <c r="AW39" i="4"/>
  <c r="AW38" i="4"/>
  <c r="AW37" i="4"/>
  <c r="AW36" i="4"/>
  <c r="AW35" i="4"/>
  <c r="AW34" i="4"/>
  <c r="AW33" i="4"/>
  <c r="AW32" i="4"/>
  <c r="AW31" i="4"/>
  <c r="AW30" i="4"/>
  <c r="AW29" i="4"/>
  <c r="AW28" i="4"/>
  <c r="AW27" i="4"/>
  <c r="AW26" i="4"/>
  <c r="AW25" i="4"/>
  <c r="AW24" i="4"/>
  <c r="AW23" i="4"/>
  <c r="AW22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9" i="4"/>
  <c r="AW8" i="4"/>
  <c r="AW7" i="4"/>
  <c r="AW6" i="4"/>
  <c r="AT59" i="4"/>
  <c r="AT58" i="4"/>
  <c r="AT57" i="4"/>
  <c r="AT56" i="4"/>
  <c r="AT55" i="4"/>
  <c r="AT54" i="4"/>
  <c r="AT53" i="4"/>
  <c r="AT52" i="4"/>
  <c r="AT51" i="4"/>
  <c r="AT50" i="4"/>
  <c r="AT49" i="4"/>
  <c r="AT48" i="4"/>
  <c r="AT47" i="4"/>
  <c r="AT46" i="4"/>
  <c r="AT45" i="4"/>
  <c r="AT44" i="4"/>
  <c r="AT43" i="4"/>
  <c r="AT42" i="4"/>
  <c r="AT41" i="4"/>
  <c r="AT40" i="4"/>
  <c r="AT39" i="4"/>
  <c r="AT38" i="4"/>
  <c r="AT37" i="4"/>
  <c r="AT36" i="4"/>
  <c r="AT35" i="4"/>
  <c r="AT34" i="4"/>
  <c r="AT33" i="4"/>
  <c r="AT32" i="4"/>
  <c r="AT31" i="4"/>
  <c r="AT30" i="4"/>
  <c r="AT29" i="4"/>
  <c r="AT28" i="4"/>
  <c r="AT27" i="4"/>
  <c r="AT26" i="4"/>
  <c r="AT25" i="4"/>
  <c r="AT24" i="4"/>
  <c r="AT23" i="4"/>
  <c r="AT22" i="4"/>
  <c r="AT21" i="4"/>
  <c r="AT20" i="4"/>
  <c r="AT19" i="4"/>
  <c r="AT18" i="4"/>
  <c r="AT17" i="4"/>
  <c r="AT16" i="4"/>
  <c r="AT15" i="4"/>
  <c r="AT14" i="4"/>
  <c r="AT13" i="4"/>
  <c r="AT12" i="4"/>
  <c r="AT11" i="4"/>
  <c r="AT10" i="4"/>
  <c r="AT9" i="4"/>
  <c r="AT8" i="4"/>
  <c r="AT7" i="4"/>
  <c r="AT6" i="4"/>
  <c r="AQ59" i="4"/>
  <c r="AQ58" i="4"/>
  <c r="AQ57" i="4"/>
  <c r="AQ56" i="4"/>
  <c r="AQ55" i="4"/>
  <c r="AQ54" i="4"/>
  <c r="AQ53" i="4"/>
  <c r="AQ52" i="4"/>
  <c r="AQ51" i="4"/>
  <c r="AQ50" i="4"/>
  <c r="AQ49" i="4"/>
  <c r="AQ48" i="4"/>
  <c r="AQ47" i="4"/>
  <c r="AQ46" i="4"/>
  <c r="AQ45" i="4"/>
  <c r="AQ44" i="4"/>
  <c r="AQ43" i="4"/>
  <c r="AQ42" i="4"/>
  <c r="AQ41" i="4"/>
  <c r="AQ40" i="4"/>
  <c r="AQ39" i="4"/>
  <c r="AQ38" i="4"/>
  <c r="AQ37" i="4"/>
  <c r="AQ36" i="4"/>
  <c r="AQ35" i="4"/>
  <c r="AQ34" i="4"/>
  <c r="AQ33" i="4"/>
  <c r="AQ32" i="4"/>
  <c r="AQ31" i="4"/>
  <c r="AQ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Q11" i="4"/>
  <c r="AQ10" i="4"/>
  <c r="AQ9" i="4"/>
  <c r="AQ8" i="4"/>
  <c r="AQ7" i="4"/>
  <c r="AQ6" i="4"/>
  <c r="AN59" i="4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3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N10" i="4"/>
  <c r="AN9" i="4"/>
  <c r="AN8" i="4"/>
  <c r="AN7" i="4"/>
  <c r="AN6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DD59" i="4"/>
  <c r="DD58" i="4"/>
  <c r="DD57" i="4"/>
  <c r="DD56" i="4"/>
  <c r="DD55" i="4"/>
  <c r="DD54" i="4"/>
  <c r="DD53" i="4"/>
  <c r="DD52" i="4"/>
  <c r="DD51" i="4"/>
  <c r="DD50" i="4"/>
  <c r="DD49" i="4"/>
  <c r="DD48" i="4"/>
  <c r="DD47" i="4"/>
  <c r="DD46" i="4"/>
  <c r="DD45" i="4"/>
  <c r="DD44" i="4"/>
  <c r="DD43" i="4"/>
  <c r="DD42" i="4"/>
  <c r="DD41" i="4"/>
  <c r="DD40" i="4"/>
  <c r="DD39" i="4"/>
  <c r="DD38" i="4"/>
  <c r="DD37" i="4"/>
  <c r="DD36" i="4"/>
  <c r="DD35" i="4"/>
  <c r="DD34" i="4"/>
  <c r="DD33" i="4"/>
  <c r="DD32" i="4"/>
  <c r="DD31" i="4"/>
  <c r="DD30" i="4"/>
  <c r="DD29" i="4"/>
  <c r="DD28" i="4"/>
  <c r="DD27" i="4"/>
  <c r="DD26" i="4"/>
  <c r="DD25" i="4"/>
  <c r="DD24" i="4"/>
  <c r="DD23" i="4"/>
  <c r="DD22" i="4"/>
  <c r="DD21" i="4"/>
  <c r="DD20" i="4"/>
  <c r="DD19" i="4"/>
  <c r="DD18" i="4"/>
  <c r="DD17" i="4"/>
  <c r="DD16" i="4"/>
  <c r="DD15" i="4"/>
  <c r="DD14" i="4"/>
  <c r="DD13" i="4"/>
  <c r="DD12" i="4"/>
  <c r="DD11" i="4"/>
  <c r="DD10" i="4"/>
  <c r="DD9" i="4"/>
  <c r="DD8" i="4"/>
  <c r="DD7" i="4"/>
  <c r="DD6" i="4"/>
  <c r="DD5" i="4"/>
  <c r="DA59" i="4"/>
  <c r="DA58" i="4"/>
  <c r="DA57" i="4"/>
  <c r="DA56" i="4"/>
  <c r="DA55" i="4"/>
  <c r="DA54" i="4"/>
  <c r="DA53" i="4"/>
  <c r="DA52" i="4"/>
  <c r="DA51" i="4"/>
  <c r="DA50" i="4"/>
  <c r="DA49" i="4"/>
  <c r="DA48" i="4"/>
  <c r="DA47" i="4"/>
  <c r="DA46" i="4"/>
  <c r="DA45" i="4"/>
  <c r="DA44" i="4"/>
  <c r="DA43" i="4"/>
  <c r="DA42" i="4"/>
  <c r="DA41" i="4"/>
  <c r="DA40" i="4"/>
  <c r="DA39" i="4"/>
  <c r="DA38" i="4"/>
  <c r="DA37" i="4"/>
  <c r="DA36" i="4"/>
  <c r="DA35" i="4"/>
  <c r="DA34" i="4"/>
  <c r="DA33" i="4"/>
  <c r="DA32" i="4"/>
  <c r="DA31" i="4"/>
  <c r="DA30" i="4"/>
  <c r="DA29" i="4"/>
  <c r="DA28" i="4"/>
  <c r="DA27" i="4"/>
  <c r="DA26" i="4"/>
  <c r="DA25" i="4"/>
  <c r="DA24" i="4"/>
  <c r="DA23" i="4"/>
  <c r="DA22" i="4"/>
  <c r="DA21" i="4"/>
  <c r="DA20" i="4"/>
  <c r="DA19" i="4"/>
  <c r="DA18" i="4"/>
  <c r="DA17" i="4"/>
  <c r="DA16" i="4"/>
  <c r="DA15" i="4"/>
  <c r="DA14" i="4"/>
  <c r="DA13" i="4"/>
  <c r="DA12" i="4"/>
  <c r="DA11" i="4"/>
  <c r="DA10" i="4"/>
  <c r="DA9" i="4"/>
  <c r="DA8" i="4"/>
  <c r="DA7" i="4"/>
  <c r="DA6" i="4"/>
  <c r="DA5" i="4"/>
  <c r="CX59" i="4"/>
  <c r="CX58" i="4"/>
  <c r="CX57" i="4"/>
  <c r="CX56" i="4"/>
  <c r="CX55" i="4"/>
  <c r="CX54" i="4"/>
  <c r="CX53" i="4"/>
  <c r="CX52" i="4"/>
  <c r="CX51" i="4"/>
  <c r="CX50" i="4"/>
  <c r="CX49" i="4"/>
  <c r="CX48" i="4"/>
  <c r="CX47" i="4"/>
  <c r="CX46" i="4"/>
  <c r="CX45" i="4"/>
  <c r="CX44" i="4"/>
  <c r="CX43" i="4"/>
  <c r="CX42" i="4"/>
  <c r="CX41" i="4"/>
  <c r="CX40" i="4"/>
  <c r="CX39" i="4"/>
  <c r="CX38" i="4"/>
  <c r="CX37" i="4"/>
  <c r="CX36" i="4"/>
  <c r="CX35" i="4"/>
  <c r="CX34" i="4"/>
  <c r="CX33" i="4"/>
  <c r="CX32" i="4"/>
  <c r="CX31" i="4"/>
  <c r="CX30" i="4"/>
  <c r="CX29" i="4"/>
  <c r="CX28" i="4"/>
  <c r="CX27" i="4"/>
  <c r="CX26" i="4"/>
  <c r="CX25" i="4"/>
  <c r="CX24" i="4"/>
  <c r="CX23" i="4"/>
  <c r="CX22" i="4"/>
  <c r="CX21" i="4"/>
  <c r="CX20" i="4"/>
  <c r="CX19" i="4"/>
  <c r="CX18" i="4"/>
  <c r="CX17" i="4"/>
  <c r="CX16" i="4"/>
  <c r="CX15" i="4"/>
  <c r="CX14" i="4"/>
  <c r="CX13" i="4"/>
  <c r="CX12" i="4"/>
  <c r="CX11" i="4"/>
  <c r="CX10" i="4"/>
  <c r="CX9" i="4"/>
  <c r="CX8" i="4"/>
  <c r="CX7" i="4"/>
  <c r="CX6" i="4"/>
  <c r="CX5" i="4"/>
  <c r="CU59" i="4"/>
  <c r="CU58" i="4"/>
  <c r="CU57" i="4"/>
  <c r="CU56" i="4"/>
  <c r="CU55" i="4"/>
  <c r="CU54" i="4"/>
  <c r="CU53" i="4"/>
  <c r="CU52" i="4"/>
  <c r="CU51" i="4"/>
  <c r="CU50" i="4"/>
  <c r="CU49" i="4"/>
  <c r="CU48" i="4"/>
  <c r="CU47" i="4"/>
  <c r="CU46" i="4"/>
  <c r="CU45" i="4"/>
  <c r="CU44" i="4"/>
  <c r="CU43" i="4"/>
  <c r="CU42" i="4"/>
  <c r="CU41" i="4"/>
  <c r="CU40" i="4"/>
  <c r="CU39" i="4"/>
  <c r="CU38" i="4"/>
  <c r="CU37" i="4"/>
  <c r="CU36" i="4"/>
  <c r="CU35" i="4"/>
  <c r="CU34" i="4"/>
  <c r="CU33" i="4"/>
  <c r="CU32" i="4"/>
  <c r="CU31" i="4"/>
  <c r="CU30" i="4"/>
  <c r="CU29" i="4"/>
  <c r="CU28" i="4"/>
  <c r="CU27" i="4"/>
  <c r="CU26" i="4"/>
  <c r="CU25" i="4"/>
  <c r="CU24" i="4"/>
  <c r="CU23" i="4"/>
  <c r="CU22" i="4"/>
  <c r="CU21" i="4"/>
  <c r="CU20" i="4"/>
  <c r="CU19" i="4"/>
  <c r="CU18" i="4"/>
  <c r="CU17" i="4"/>
  <c r="CU16" i="4"/>
  <c r="CU15" i="4"/>
  <c r="CU14" i="4"/>
  <c r="CU13" i="4"/>
  <c r="CU12" i="4"/>
  <c r="CU11" i="4"/>
  <c r="CU10" i="4"/>
  <c r="CU9" i="4"/>
  <c r="CU8" i="4"/>
  <c r="CU7" i="4"/>
  <c r="CU6" i="4"/>
  <c r="CU5" i="4"/>
  <c r="CL59" i="4"/>
  <c r="CL58" i="4"/>
  <c r="CL57" i="4"/>
  <c r="CL56" i="4"/>
  <c r="CL55" i="4"/>
  <c r="CL54" i="4"/>
  <c r="CL53" i="4"/>
  <c r="CL52" i="4"/>
  <c r="CL51" i="4"/>
  <c r="CL50" i="4"/>
  <c r="CL49" i="4"/>
  <c r="CL48" i="4"/>
  <c r="CL47" i="4"/>
  <c r="CL46" i="4"/>
  <c r="CL45" i="4"/>
  <c r="CL44" i="4"/>
  <c r="CL43" i="4"/>
  <c r="CL42" i="4"/>
  <c r="CL41" i="4"/>
  <c r="CL40" i="4"/>
  <c r="CL39" i="4"/>
  <c r="CL38" i="4"/>
  <c r="CL37" i="4"/>
  <c r="CL36" i="4"/>
  <c r="CL35" i="4"/>
  <c r="CL34" i="4"/>
  <c r="CL33" i="4"/>
  <c r="CL32" i="4"/>
  <c r="CL31" i="4"/>
  <c r="CL30" i="4"/>
  <c r="CL29" i="4"/>
  <c r="CL28" i="4"/>
  <c r="CL27" i="4"/>
  <c r="CL26" i="4"/>
  <c r="CL25" i="4"/>
  <c r="CL24" i="4"/>
  <c r="CL23" i="4"/>
  <c r="CL22" i="4"/>
  <c r="CL21" i="4"/>
  <c r="CL20" i="4"/>
  <c r="CL19" i="4"/>
  <c r="CL18" i="4"/>
  <c r="CL17" i="4"/>
  <c r="CL16" i="4"/>
  <c r="CL15" i="4"/>
  <c r="CL14" i="4"/>
  <c r="CL13" i="4"/>
  <c r="CL12" i="4"/>
  <c r="CL11" i="4"/>
  <c r="CL10" i="4"/>
  <c r="CL9" i="4"/>
  <c r="CL8" i="4"/>
  <c r="CL7" i="4"/>
  <c r="CL6" i="4"/>
  <c r="CL5" i="4"/>
  <c r="CI59" i="4"/>
  <c r="CI58" i="4"/>
  <c r="CI57" i="4"/>
  <c r="CI56" i="4"/>
  <c r="CI55" i="4"/>
  <c r="CI54" i="4"/>
  <c r="CI53" i="4"/>
  <c r="CI52" i="4"/>
  <c r="CI51" i="4"/>
  <c r="CI50" i="4"/>
  <c r="CI49" i="4"/>
  <c r="CI48" i="4"/>
  <c r="CI47" i="4"/>
  <c r="CI46" i="4"/>
  <c r="CI45" i="4"/>
  <c r="CI44" i="4"/>
  <c r="CI43" i="4"/>
  <c r="CI42" i="4"/>
  <c r="CI41" i="4"/>
  <c r="CI40" i="4"/>
  <c r="CI39" i="4"/>
  <c r="CI38" i="4"/>
  <c r="CI37" i="4"/>
  <c r="CI36" i="4"/>
  <c r="CI35" i="4"/>
  <c r="CI34" i="4"/>
  <c r="CI33" i="4"/>
  <c r="CI32" i="4"/>
  <c r="CI31" i="4"/>
  <c r="CI30" i="4"/>
  <c r="CI29" i="4"/>
  <c r="CI28" i="4"/>
  <c r="CI27" i="4"/>
  <c r="CI26" i="4"/>
  <c r="CI25" i="4"/>
  <c r="CI24" i="4"/>
  <c r="CI23" i="4"/>
  <c r="CI22" i="4"/>
  <c r="CI21" i="4"/>
  <c r="CI20" i="4"/>
  <c r="CI19" i="4"/>
  <c r="CI18" i="4"/>
  <c r="CI17" i="4"/>
  <c r="CI16" i="4"/>
  <c r="CI15" i="4"/>
  <c r="CI14" i="4"/>
  <c r="CI13" i="4"/>
  <c r="CI12" i="4"/>
  <c r="CI11" i="4"/>
  <c r="CI10" i="4"/>
  <c r="CI9" i="4"/>
  <c r="CI8" i="4"/>
  <c r="CI7" i="4"/>
  <c r="CI6" i="4"/>
  <c r="CI5" i="4"/>
  <c r="CF59" i="4"/>
  <c r="CF58" i="4"/>
  <c r="CF57" i="4"/>
  <c r="CF56" i="4"/>
  <c r="CF55" i="4"/>
  <c r="CF54" i="4"/>
  <c r="CF53" i="4"/>
  <c r="CF52" i="4"/>
  <c r="CF51" i="4"/>
  <c r="CF50" i="4"/>
  <c r="CF49" i="4"/>
  <c r="CF48" i="4"/>
  <c r="CF47" i="4"/>
  <c r="CF46" i="4"/>
  <c r="CF45" i="4"/>
  <c r="CF44" i="4"/>
  <c r="CF43" i="4"/>
  <c r="CF42" i="4"/>
  <c r="CF41" i="4"/>
  <c r="CF40" i="4"/>
  <c r="CF39" i="4"/>
  <c r="CF38" i="4"/>
  <c r="CF37" i="4"/>
  <c r="CF36" i="4"/>
  <c r="CF35" i="4"/>
  <c r="CF34" i="4"/>
  <c r="CF33" i="4"/>
  <c r="CF32" i="4"/>
  <c r="CF31" i="4"/>
  <c r="CF30" i="4"/>
  <c r="CF29" i="4"/>
  <c r="CF28" i="4"/>
  <c r="CF27" i="4"/>
  <c r="CF26" i="4"/>
  <c r="CF25" i="4"/>
  <c r="CF24" i="4"/>
  <c r="CF23" i="4"/>
  <c r="CF22" i="4"/>
  <c r="CF21" i="4"/>
  <c r="CF20" i="4"/>
  <c r="CF19" i="4"/>
  <c r="CF18" i="4"/>
  <c r="CF17" i="4"/>
  <c r="CF16" i="4"/>
  <c r="CF15" i="4"/>
  <c r="CF14" i="4"/>
  <c r="CF13" i="4"/>
  <c r="CF12" i="4"/>
  <c r="CF11" i="4"/>
  <c r="CF10" i="4"/>
  <c r="CF9" i="4"/>
  <c r="CF8" i="4"/>
  <c r="CF7" i="4"/>
  <c r="CF6" i="4"/>
  <c r="CF5" i="4"/>
  <c r="CC59" i="4"/>
  <c r="CC58" i="4"/>
  <c r="CC57" i="4"/>
  <c r="CC56" i="4"/>
  <c r="CC55" i="4"/>
  <c r="CC54" i="4"/>
  <c r="CC53" i="4"/>
  <c r="CC52" i="4"/>
  <c r="CC51" i="4"/>
  <c r="CC50" i="4"/>
  <c r="CC49" i="4"/>
  <c r="CC48" i="4"/>
  <c r="CC47" i="4"/>
  <c r="CC46" i="4"/>
  <c r="CC45" i="4"/>
  <c r="CC44" i="4"/>
  <c r="CC43" i="4"/>
  <c r="CC42" i="4"/>
  <c r="CC41" i="4"/>
  <c r="CC40" i="4"/>
  <c r="CC39" i="4"/>
  <c r="CC38" i="4"/>
  <c r="CC37" i="4"/>
  <c r="CC36" i="4"/>
  <c r="CC35" i="4"/>
  <c r="CC34" i="4"/>
  <c r="CC33" i="4"/>
  <c r="CC32" i="4"/>
  <c r="CC31" i="4"/>
  <c r="CC30" i="4"/>
  <c r="CC29" i="4"/>
  <c r="CC28" i="4"/>
  <c r="CC27" i="4"/>
  <c r="CC26" i="4"/>
  <c r="CC25" i="4"/>
  <c r="CC24" i="4"/>
  <c r="CC23" i="4"/>
  <c r="CC22" i="4"/>
  <c r="CC21" i="4"/>
  <c r="CC20" i="4"/>
  <c r="CC19" i="4"/>
  <c r="CC18" i="4"/>
  <c r="CC17" i="4"/>
  <c r="CC16" i="4"/>
  <c r="CC15" i="4"/>
  <c r="CC14" i="4"/>
  <c r="CC13" i="4"/>
  <c r="CC12" i="4"/>
  <c r="CC11" i="4"/>
  <c r="CC10" i="4"/>
  <c r="CC9" i="4"/>
  <c r="CC8" i="4"/>
  <c r="CC7" i="4"/>
  <c r="CC6" i="4"/>
  <c r="CC5" i="4"/>
  <c r="BZ59" i="4"/>
  <c r="BZ58" i="4"/>
  <c r="BZ57" i="4"/>
  <c r="BZ56" i="4"/>
  <c r="BZ55" i="4"/>
  <c r="BZ54" i="4"/>
  <c r="BZ53" i="4"/>
  <c r="BZ52" i="4"/>
  <c r="BZ51" i="4"/>
  <c r="BZ50" i="4"/>
  <c r="BZ49" i="4"/>
  <c r="BZ48" i="4"/>
  <c r="BZ47" i="4"/>
  <c r="BZ46" i="4"/>
  <c r="BZ45" i="4"/>
  <c r="BZ44" i="4"/>
  <c r="BZ43" i="4"/>
  <c r="BZ42" i="4"/>
  <c r="BZ41" i="4"/>
  <c r="BZ40" i="4"/>
  <c r="BZ39" i="4"/>
  <c r="BZ38" i="4"/>
  <c r="BZ37" i="4"/>
  <c r="BZ36" i="4"/>
  <c r="BZ35" i="4"/>
  <c r="BZ34" i="4"/>
  <c r="BZ33" i="4"/>
  <c r="BZ32" i="4"/>
  <c r="BZ31" i="4"/>
  <c r="BZ30" i="4"/>
  <c r="BZ29" i="4"/>
  <c r="BZ28" i="4"/>
  <c r="BZ27" i="4"/>
  <c r="BZ26" i="4"/>
  <c r="BZ25" i="4"/>
  <c r="BZ24" i="4"/>
  <c r="BZ23" i="4"/>
  <c r="BZ22" i="4"/>
  <c r="BZ21" i="4"/>
  <c r="BZ20" i="4"/>
  <c r="BZ19" i="4"/>
  <c r="BZ18" i="4"/>
  <c r="BZ17" i="4"/>
  <c r="BZ16" i="4"/>
  <c r="BZ15" i="4"/>
  <c r="BZ14" i="4"/>
  <c r="BZ13" i="4"/>
  <c r="BZ12" i="4"/>
  <c r="BZ11" i="4"/>
  <c r="BZ10" i="4"/>
  <c r="BZ9" i="4"/>
  <c r="BZ8" i="4"/>
  <c r="BZ7" i="4"/>
  <c r="BZ6" i="4"/>
  <c r="BZ5" i="4"/>
  <c r="BN59" i="4"/>
  <c r="BN58" i="4"/>
  <c r="BN57" i="4"/>
  <c r="BN56" i="4"/>
  <c r="BN55" i="4"/>
  <c r="BN54" i="4"/>
  <c r="BN53" i="4"/>
  <c r="BN52" i="4"/>
  <c r="BN51" i="4"/>
  <c r="BN50" i="4"/>
  <c r="BN49" i="4"/>
  <c r="BN48" i="4"/>
  <c r="BN47" i="4"/>
  <c r="BN46" i="4"/>
  <c r="BN45" i="4"/>
  <c r="BN44" i="4"/>
  <c r="BN43" i="4"/>
  <c r="BN42" i="4"/>
  <c r="BN41" i="4"/>
  <c r="BN40" i="4"/>
  <c r="BN39" i="4"/>
  <c r="BN38" i="4"/>
  <c r="BN37" i="4"/>
  <c r="BN36" i="4"/>
  <c r="BN35" i="4"/>
  <c r="BN34" i="4"/>
  <c r="BN33" i="4"/>
  <c r="BN32" i="4"/>
  <c r="BN31" i="4"/>
  <c r="BN30" i="4"/>
  <c r="BN29" i="4"/>
  <c r="BN28" i="4"/>
  <c r="BN27" i="4"/>
  <c r="BN26" i="4"/>
  <c r="BN25" i="4"/>
  <c r="BN24" i="4"/>
  <c r="BN23" i="4"/>
  <c r="BN22" i="4"/>
  <c r="BN21" i="4"/>
  <c r="BN20" i="4"/>
  <c r="BN19" i="4"/>
  <c r="BN18" i="4"/>
  <c r="BN17" i="4"/>
  <c r="BN16" i="4"/>
  <c r="BN15" i="4"/>
  <c r="BN14" i="4"/>
  <c r="BN13" i="4"/>
  <c r="BN12" i="4"/>
  <c r="BN11" i="4"/>
  <c r="BN10" i="4"/>
  <c r="BN9" i="4"/>
  <c r="BN8" i="4"/>
  <c r="BN7" i="4"/>
  <c r="BN6" i="4"/>
  <c r="BN5" i="4"/>
  <c r="BK59" i="4"/>
  <c r="BK58" i="4"/>
  <c r="BK57" i="4"/>
  <c r="BK56" i="4"/>
  <c r="BK55" i="4"/>
  <c r="BK54" i="4"/>
  <c r="BK53" i="4"/>
  <c r="BK52" i="4"/>
  <c r="BK51" i="4"/>
  <c r="BK50" i="4"/>
  <c r="BK49" i="4"/>
  <c r="BK48" i="4"/>
  <c r="BK47" i="4"/>
  <c r="BK46" i="4"/>
  <c r="BK45" i="4"/>
  <c r="BK44" i="4"/>
  <c r="BK43" i="4"/>
  <c r="BK42" i="4"/>
  <c r="BK41" i="4"/>
  <c r="BK40" i="4"/>
  <c r="BK39" i="4"/>
  <c r="BK38" i="4"/>
  <c r="BK37" i="4"/>
  <c r="BK36" i="4"/>
  <c r="BK35" i="4"/>
  <c r="BK34" i="4"/>
  <c r="BK33" i="4"/>
  <c r="BK32" i="4"/>
  <c r="BK31" i="4"/>
  <c r="BK30" i="4"/>
  <c r="BK29" i="4"/>
  <c r="BK28" i="4"/>
  <c r="BK27" i="4"/>
  <c r="BK26" i="4"/>
  <c r="BK25" i="4"/>
  <c r="BK24" i="4"/>
  <c r="BK23" i="4"/>
  <c r="BK22" i="4"/>
  <c r="BK21" i="4"/>
  <c r="BK20" i="4"/>
  <c r="BK19" i="4"/>
  <c r="BK18" i="4"/>
  <c r="BK17" i="4"/>
  <c r="BK16" i="4"/>
  <c r="BK15" i="4"/>
  <c r="BK14" i="4"/>
  <c r="BK13" i="4"/>
  <c r="BK12" i="4"/>
  <c r="BK11" i="4"/>
  <c r="BK10" i="4"/>
  <c r="BK9" i="4"/>
  <c r="BK8" i="4"/>
  <c r="BK7" i="4"/>
  <c r="BK6" i="4"/>
  <c r="BK5" i="4"/>
  <c r="BH59" i="4"/>
  <c r="BH58" i="4"/>
  <c r="BH57" i="4"/>
  <c r="BH56" i="4"/>
  <c r="BH55" i="4"/>
  <c r="BH54" i="4"/>
  <c r="BH53" i="4"/>
  <c r="BH52" i="4"/>
  <c r="BH51" i="4"/>
  <c r="BH50" i="4"/>
  <c r="BH49" i="4"/>
  <c r="BH48" i="4"/>
  <c r="BH47" i="4"/>
  <c r="BH46" i="4"/>
  <c r="BH45" i="4"/>
  <c r="BH44" i="4"/>
  <c r="BH43" i="4"/>
  <c r="BH42" i="4"/>
  <c r="BH41" i="4"/>
  <c r="BH40" i="4"/>
  <c r="BH39" i="4"/>
  <c r="BH38" i="4"/>
  <c r="BH37" i="4"/>
  <c r="BH36" i="4"/>
  <c r="BH35" i="4"/>
  <c r="BH34" i="4"/>
  <c r="BH33" i="4"/>
  <c r="BH32" i="4"/>
  <c r="BH31" i="4"/>
  <c r="BH30" i="4"/>
  <c r="BH29" i="4"/>
  <c r="BH28" i="4"/>
  <c r="BH27" i="4"/>
  <c r="BH26" i="4"/>
  <c r="BH25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BH5" i="4"/>
  <c r="BE59" i="4"/>
  <c r="BE58" i="4"/>
  <c r="BE57" i="4"/>
  <c r="BE56" i="4"/>
  <c r="BE55" i="4"/>
  <c r="BE54" i="4"/>
  <c r="BE53" i="4"/>
  <c r="BE52" i="4"/>
  <c r="BE51" i="4"/>
  <c r="BE50" i="4"/>
  <c r="BE49" i="4"/>
  <c r="BE48" i="4"/>
  <c r="BE47" i="4"/>
  <c r="BE46" i="4"/>
  <c r="BE45" i="4"/>
  <c r="BE44" i="4"/>
  <c r="BE43" i="4"/>
  <c r="BE42" i="4"/>
  <c r="BE41" i="4"/>
  <c r="BE40" i="4"/>
  <c r="BE39" i="4"/>
  <c r="BE38" i="4"/>
  <c r="BE37" i="4"/>
  <c r="BE36" i="4"/>
  <c r="BE35" i="4"/>
  <c r="BE34" i="4"/>
  <c r="BE33" i="4"/>
  <c r="BE32" i="4"/>
  <c r="BE31" i="4"/>
  <c r="BE30" i="4"/>
  <c r="BE29" i="4"/>
  <c r="BE28" i="4"/>
  <c r="BE27" i="4"/>
  <c r="BE26" i="4"/>
  <c r="BE25" i="4"/>
  <c r="BE24" i="4"/>
  <c r="BE23" i="4"/>
  <c r="BE22" i="4"/>
  <c r="BE21" i="4"/>
  <c r="BE20" i="4"/>
  <c r="BE19" i="4"/>
  <c r="BE18" i="4"/>
  <c r="BE17" i="4"/>
  <c r="BE16" i="4"/>
  <c r="BE15" i="4"/>
  <c r="BE14" i="4"/>
  <c r="BE13" i="4"/>
  <c r="BE12" i="4"/>
  <c r="BE11" i="4"/>
  <c r="BE10" i="4"/>
  <c r="BE9" i="4"/>
  <c r="BE8" i="4"/>
  <c r="BE7" i="4"/>
  <c r="BE6" i="4"/>
  <c r="BE5" i="4"/>
  <c r="AW5" i="4"/>
  <c r="AT5" i="4"/>
  <c r="AQ5" i="4"/>
  <c r="AN5" i="4"/>
  <c r="AK5" i="4"/>
  <c r="AH5" i="4"/>
  <c r="AE5" i="4"/>
  <c r="AB5" i="4"/>
  <c r="Y5" i="4"/>
  <c r="V5" i="4"/>
  <c r="P5" i="4"/>
  <c r="M5" i="4"/>
  <c r="J5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C59" i="4"/>
  <c r="DC58" i="4"/>
  <c r="DC57" i="4"/>
  <c r="DC56" i="4"/>
  <c r="DC55" i="4"/>
  <c r="DC54" i="4"/>
  <c r="DC53" i="4"/>
  <c r="DC52" i="4"/>
  <c r="DC51" i="4"/>
  <c r="DC50" i="4"/>
  <c r="DC49" i="4"/>
  <c r="DC48" i="4"/>
  <c r="DC47" i="4"/>
  <c r="DC46" i="4"/>
  <c r="DC45" i="4"/>
  <c r="DC44" i="4"/>
  <c r="DC43" i="4"/>
  <c r="DC42" i="4"/>
  <c r="DC41" i="4"/>
  <c r="DC40" i="4"/>
  <c r="DC39" i="4"/>
  <c r="DC38" i="4"/>
  <c r="DC37" i="4"/>
  <c r="DC36" i="4"/>
  <c r="DC35" i="4"/>
  <c r="DC34" i="4"/>
  <c r="DC33" i="4"/>
  <c r="DC32" i="4"/>
  <c r="DC31" i="4"/>
  <c r="DC30" i="4"/>
  <c r="DC29" i="4"/>
  <c r="DC28" i="4"/>
  <c r="DC27" i="4"/>
  <c r="DC26" i="4"/>
  <c r="DC25" i="4"/>
  <c r="DC24" i="4"/>
  <c r="DC23" i="4"/>
  <c r="DC22" i="4"/>
  <c r="DC21" i="4"/>
  <c r="DC20" i="4"/>
  <c r="DC19" i="4"/>
  <c r="DC18" i="4"/>
  <c r="DC17" i="4"/>
  <c r="DC16" i="4"/>
  <c r="DC15" i="4"/>
  <c r="DC14" i="4"/>
  <c r="DC13" i="4"/>
  <c r="DC12" i="4"/>
  <c r="DC11" i="4"/>
  <c r="DC10" i="4"/>
  <c r="DC9" i="4"/>
  <c r="DC8" i="4"/>
  <c r="DC7" i="4"/>
  <c r="DC6" i="4"/>
  <c r="DC5" i="4"/>
  <c r="CZ59" i="4"/>
  <c r="CZ58" i="4"/>
  <c r="CZ57" i="4"/>
  <c r="CZ56" i="4"/>
  <c r="CZ55" i="4"/>
  <c r="CZ54" i="4"/>
  <c r="CZ53" i="4"/>
  <c r="CZ52" i="4"/>
  <c r="CZ51" i="4"/>
  <c r="CZ50" i="4"/>
  <c r="CZ49" i="4"/>
  <c r="CZ48" i="4"/>
  <c r="CZ47" i="4"/>
  <c r="CZ46" i="4"/>
  <c r="CZ45" i="4"/>
  <c r="CZ44" i="4"/>
  <c r="CZ43" i="4"/>
  <c r="CZ42" i="4"/>
  <c r="CZ41" i="4"/>
  <c r="CZ40" i="4"/>
  <c r="CZ39" i="4"/>
  <c r="CZ38" i="4"/>
  <c r="CZ37" i="4"/>
  <c r="CZ36" i="4"/>
  <c r="CZ35" i="4"/>
  <c r="CZ34" i="4"/>
  <c r="CZ33" i="4"/>
  <c r="CZ32" i="4"/>
  <c r="CZ31" i="4"/>
  <c r="CZ30" i="4"/>
  <c r="CZ29" i="4"/>
  <c r="CZ28" i="4"/>
  <c r="CZ27" i="4"/>
  <c r="CZ26" i="4"/>
  <c r="CZ25" i="4"/>
  <c r="CZ24" i="4"/>
  <c r="CZ23" i="4"/>
  <c r="CZ22" i="4"/>
  <c r="CZ21" i="4"/>
  <c r="CZ20" i="4"/>
  <c r="CZ19" i="4"/>
  <c r="CZ18" i="4"/>
  <c r="CZ17" i="4"/>
  <c r="CZ16" i="4"/>
  <c r="CZ15" i="4"/>
  <c r="CZ14" i="4"/>
  <c r="CZ13" i="4"/>
  <c r="CZ12" i="4"/>
  <c r="CZ11" i="4"/>
  <c r="CZ10" i="4"/>
  <c r="CZ9" i="4"/>
  <c r="CZ8" i="4"/>
  <c r="CZ7" i="4"/>
  <c r="CZ6" i="4"/>
  <c r="CZ5" i="4"/>
  <c r="CW59" i="4"/>
  <c r="CW58" i="4"/>
  <c r="CW57" i="4"/>
  <c r="CW56" i="4"/>
  <c r="CW55" i="4"/>
  <c r="CW54" i="4"/>
  <c r="CW53" i="4"/>
  <c r="CW52" i="4"/>
  <c r="CW51" i="4"/>
  <c r="CW50" i="4"/>
  <c r="CW49" i="4"/>
  <c r="CW48" i="4"/>
  <c r="CW47" i="4"/>
  <c r="CW46" i="4"/>
  <c r="CW45" i="4"/>
  <c r="CW44" i="4"/>
  <c r="CW43" i="4"/>
  <c r="CW42" i="4"/>
  <c r="CW41" i="4"/>
  <c r="CW40" i="4"/>
  <c r="CW39" i="4"/>
  <c r="CW38" i="4"/>
  <c r="CW37" i="4"/>
  <c r="CW36" i="4"/>
  <c r="CW35" i="4"/>
  <c r="CW34" i="4"/>
  <c r="CW33" i="4"/>
  <c r="CW32" i="4"/>
  <c r="CW31" i="4"/>
  <c r="CW30" i="4"/>
  <c r="CW29" i="4"/>
  <c r="CW28" i="4"/>
  <c r="CW27" i="4"/>
  <c r="CW26" i="4"/>
  <c r="CW25" i="4"/>
  <c r="CW24" i="4"/>
  <c r="CW23" i="4"/>
  <c r="CW22" i="4"/>
  <c r="CW21" i="4"/>
  <c r="CW20" i="4"/>
  <c r="CW19" i="4"/>
  <c r="CW18" i="4"/>
  <c r="CW17" i="4"/>
  <c r="CW16" i="4"/>
  <c r="CW15" i="4"/>
  <c r="CW14" i="4"/>
  <c r="CW13" i="4"/>
  <c r="CW12" i="4"/>
  <c r="CW11" i="4"/>
  <c r="CW10" i="4"/>
  <c r="CW9" i="4"/>
  <c r="CW8" i="4"/>
  <c r="CW7" i="4"/>
  <c r="CW6" i="4"/>
  <c r="CW5" i="4"/>
  <c r="CT59" i="4"/>
  <c r="CT58" i="4"/>
  <c r="CT57" i="4"/>
  <c r="CT56" i="4"/>
  <c r="CT55" i="4"/>
  <c r="CT54" i="4"/>
  <c r="CT53" i="4"/>
  <c r="CT52" i="4"/>
  <c r="CT51" i="4"/>
  <c r="CT50" i="4"/>
  <c r="CT49" i="4"/>
  <c r="CT48" i="4"/>
  <c r="CT47" i="4"/>
  <c r="CT46" i="4"/>
  <c r="CT45" i="4"/>
  <c r="CT44" i="4"/>
  <c r="CT43" i="4"/>
  <c r="CT42" i="4"/>
  <c r="CT41" i="4"/>
  <c r="CT40" i="4"/>
  <c r="CT39" i="4"/>
  <c r="CT38" i="4"/>
  <c r="CT37" i="4"/>
  <c r="CT36" i="4"/>
  <c r="CT35" i="4"/>
  <c r="CT34" i="4"/>
  <c r="CT33" i="4"/>
  <c r="CT32" i="4"/>
  <c r="CT31" i="4"/>
  <c r="CT30" i="4"/>
  <c r="CT29" i="4"/>
  <c r="CT28" i="4"/>
  <c r="CT27" i="4"/>
  <c r="CT26" i="4"/>
  <c r="CT25" i="4"/>
  <c r="CT24" i="4"/>
  <c r="CT23" i="4"/>
  <c r="CT22" i="4"/>
  <c r="CT21" i="4"/>
  <c r="CT20" i="4"/>
  <c r="CT19" i="4"/>
  <c r="CT18" i="4"/>
  <c r="CT17" i="4"/>
  <c r="CT16" i="4"/>
  <c r="CT15" i="4"/>
  <c r="CT14" i="4"/>
  <c r="CT13" i="4"/>
  <c r="CT12" i="4"/>
  <c r="CT11" i="4"/>
  <c r="CT10" i="4"/>
  <c r="CT9" i="4"/>
  <c r="CT8" i="4"/>
  <c r="CT7" i="4"/>
  <c r="CT6" i="4"/>
  <c r="CT5" i="4"/>
  <c r="CQ59" i="4"/>
  <c r="CQ58" i="4"/>
  <c r="CS58" i="4" s="1"/>
  <c r="CQ57" i="4"/>
  <c r="CQ56" i="4"/>
  <c r="CQ55" i="4"/>
  <c r="CQ54" i="4"/>
  <c r="CS54" i="4" s="1"/>
  <c r="CQ53" i="4"/>
  <c r="CQ52" i="4"/>
  <c r="CQ51" i="4"/>
  <c r="CQ50" i="4"/>
  <c r="CS50" i="4" s="1"/>
  <c r="CQ49" i="4"/>
  <c r="CQ48" i="4"/>
  <c r="CQ47" i="4"/>
  <c r="CQ46" i="4"/>
  <c r="CS46" i="4" s="1"/>
  <c r="CQ45" i="4"/>
  <c r="CQ44" i="4"/>
  <c r="CQ43" i="4"/>
  <c r="CQ42" i="4"/>
  <c r="CS42" i="4" s="1"/>
  <c r="CQ41" i="4"/>
  <c r="CQ40" i="4"/>
  <c r="CQ39" i="4"/>
  <c r="CQ38" i="4"/>
  <c r="CS38" i="4" s="1"/>
  <c r="CQ37" i="4"/>
  <c r="CQ36" i="4"/>
  <c r="CQ35" i="4"/>
  <c r="CQ34" i="4"/>
  <c r="CS34" i="4" s="1"/>
  <c r="CQ33" i="4"/>
  <c r="CQ32" i="4"/>
  <c r="CQ31" i="4"/>
  <c r="CQ30" i="4"/>
  <c r="CS30" i="4" s="1"/>
  <c r="CQ29" i="4"/>
  <c r="CQ28" i="4"/>
  <c r="CQ27" i="4"/>
  <c r="CQ26" i="4"/>
  <c r="CS26" i="4" s="1"/>
  <c r="CQ25" i="4"/>
  <c r="CQ24" i="4"/>
  <c r="CQ23" i="4"/>
  <c r="CQ22" i="4"/>
  <c r="CS22" i="4" s="1"/>
  <c r="CQ21" i="4"/>
  <c r="CQ20" i="4"/>
  <c r="CQ19" i="4"/>
  <c r="CQ18" i="4"/>
  <c r="CQ17" i="4"/>
  <c r="CQ16" i="4"/>
  <c r="CQ15" i="4"/>
  <c r="CQ14" i="4"/>
  <c r="CS14" i="4" s="1"/>
  <c r="CQ13" i="4"/>
  <c r="CQ12" i="4"/>
  <c r="CQ11" i="4"/>
  <c r="CQ10" i="4"/>
  <c r="CQ9" i="4"/>
  <c r="CQ8" i="4"/>
  <c r="CQ7" i="4"/>
  <c r="CQ6" i="4"/>
  <c r="CS6" i="4" s="1"/>
  <c r="CQ5" i="4"/>
  <c r="CN59" i="4"/>
  <c r="CN58" i="4"/>
  <c r="CN57" i="4"/>
  <c r="CN56" i="4"/>
  <c r="CN55" i="4"/>
  <c r="CP55" i="4" s="1"/>
  <c r="CN54" i="4"/>
  <c r="CN53" i="4"/>
  <c r="CN52" i="4"/>
  <c r="CN51" i="4"/>
  <c r="CN50" i="4"/>
  <c r="CN49" i="4"/>
  <c r="CN48" i="4"/>
  <c r="CN47" i="4"/>
  <c r="CP47" i="4" s="1"/>
  <c r="CN46" i="4"/>
  <c r="CN45" i="4"/>
  <c r="CN44" i="4"/>
  <c r="CN43" i="4"/>
  <c r="CN42" i="4"/>
  <c r="CN41" i="4"/>
  <c r="CN40" i="4"/>
  <c r="CN39" i="4"/>
  <c r="CP39" i="4" s="1"/>
  <c r="CN38" i="4"/>
  <c r="CN37" i="4"/>
  <c r="CN36" i="4"/>
  <c r="CN35" i="4"/>
  <c r="CN34" i="4"/>
  <c r="CN33" i="4"/>
  <c r="CN32" i="4"/>
  <c r="CN31" i="4"/>
  <c r="CP31" i="4" s="1"/>
  <c r="CN30" i="4"/>
  <c r="CN29" i="4"/>
  <c r="CN28" i="4"/>
  <c r="CN27" i="4"/>
  <c r="CN26" i="4"/>
  <c r="CN25" i="4"/>
  <c r="CN24" i="4"/>
  <c r="CN23" i="4"/>
  <c r="CN22" i="4"/>
  <c r="CN21" i="4"/>
  <c r="CN20" i="4"/>
  <c r="CN19" i="4"/>
  <c r="CN18" i="4"/>
  <c r="CN17" i="4"/>
  <c r="CN16" i="4"/>
  <c r="CN15" i="4"/>
  <c r="CN14" i="4"/>
  <c r="CN13" i="4"/>
  <c r="CN12" i="4"/>
  <c r="CN11" i="4"/>
  <c r="CN10" i="4"/>
  <c r="CN9" i="4"/>
  <c r="CN8" i="4"/>
  <c r="CN7" i="4"/>
  <c r="CN6" i="4"/>
  <c r="CN5" i="4"/>
  <c r="CK59" i="4"/>
  <c r="CK58" i="4"/>
  <c r="CK57" i="4"/>
  <c r="CK56" i="4"/>
  <c r="CK55" i="4"/>
  <c r="CK54" i="4"/>
  <c r="CK53" i="4"/>
  <c r="CK52" i="4"/>
  <c r="CK51" i="4"/>
  <c r="CK50" i="4"/>
  <c r="CK49" i="4"/>
  <c r="CK48" i="4"/>
  <c r="CK47" i="4"/>
  <c r="CK46" i="4"/>
  <c r="CK45" i="4"/>
  <c r="CK44" i="4"/>
  <c r="CK43" i="4"/>
  <c r="CK42" i="4"/>
  <c r="CK41" i="4"/>
  <c r="CK40" i="4"/>
  <c r="CK39" i="4"/>
  <c r="CK38" i="4"/>
  <c r="CK37" i="4"/>
  <c r="CK36" i="4"/>
  <c r="CK35" i="4"/>
  <c r="CK34" i="4"/>
  <c r="CK33" i="4"/>
  <c r="CK32" i="4"/>
  <c r="CK31" i="4"/>
  <c r="CK30" i="4"/>
  <c r="CK29" i="4"/>
  <c r="CK28" i="4"/>
  <c r="CK27" i="4"/>
  <c r="CK26" i="4"/>
  <c r="CK25" i="4"/>
  <c r="CK24" i="4"/>
  <c r="CK23" i="4"/>
  <c r="CK22" i="4"/>
  <c r="CK21" i="4"/>
  <c r="CK20" i="4"/>
  <c r="CK19" i="4"/>
  <c r="CK18" i="4"/>
  <c r="CK17" i="4"/>
  <c r="CK16" i="4"/>
  <c r="CK15" i="4"/>
  <c r="CK14" i="4"/>
  <c r="CK13" i="4"/>
  <c r="CK12" i="4"/>
  <c r="CK11" i="4"/>
  <c r="CK10" i="4"/>
  <c r="CK9" i="4"/>
  <c r="CK8" i="4"/>
  <c r="CK7" i="4"/>
  <c r="CK6" i="4"/>
  <c r="CK5" i="4"/>
  <c r="CH59" i="4"/>
  <c r="CH58" i="4"/>
  <c r="CH57" i="4"/>
  <c r="CH56" i="4"/>
  <c r="CH55" i="4"/>
  <c r="CH54" i="4"/>
  <c r="CH53" i="4"/>
  <c r="CH52" i="4"/>
  <c r="CH51" i="4"/>
  <c r="CH50" i="4"/>
  <c r="CH49" i="4"/>
  <c r="CH48" i="4"/>
  <c r="CH47" i="4"/>
  <c r="CH46" i="4"/>
  <c r="CH45" i="4"/>
  <c r="CH44" i="4"/>
  <c r="CH43" i="4"/>
  <c r="CH42" i="4"/>
  <c r="CH41" i="4"/>
  <c r="CH40" i="4"/>
  <c r="CH39" i="4"/>
  <c r="CH38" i="4"/>
  <c r="CH37" i="4"/>
  <c r="CH36" i="4"/>
  <c r="CH35" i="4"/>
  <c r="CH34" i="4"/>
  <c r="CH33" i="4"/>
  <c r="CH32" i="4"/>
  <c r="CH31" i="4"/>
  <c r="CH30" i="4"/>
  <c r="CH29" i="4"/>
  <c r="CH28" i="4"/>
  <c r="CH27" i="4"/>
  <c r="CH26" i="4"/>
  <c r="CH25" i="4"/>
  <c r="CH24" i="4"/>
  <c r="CH23" i="4"/>
  <c r="CH22" i="4"/>
  <c r="CH21" i="4"/>
  <c r="CH20" i="4"/>
  <c r="CH19" i="4"/>
  <c r="CH18" i="4"/>
  <c r="CH17" i="4"/>
  <c r="CH16" i="4"/>
  <c r="CH15" i="4"/>
  <c r="CH14" i="4"/>
  <c r="CH13" i="4"/>
  <c r="CH12" i="4"/>
  <c r="CH11" i="4"/>
  <c r="CH10" i="4"/>
  <c r="CH9" i="4"/>
  <c r="CH8" i="4"/>
  <c r="CH7" i="4"/>
  <c r="CH6" i="4"/>
  <c r="CH5" i="4"/>
  <c r="CE59" i="4"/>
  <c r="CE58" i="4"/>
  <c r="CE57" i="4"/>
  <c r="CE56" i="4"/>
  <c r="CE55" i="4"/>
  <c r="CE54" i="4"/>
  <c r="CE53" i="4"/>
  <c r="CE52" i="4"/>
  <c r="CE51" i="4"/>
  <c r="CE50" i="4"/>
  <c r="CE49" i="4"/>
  <c r="CE48" i="4"/>
  <c r="CE47" i="4"/>
  <c r="CE46" i="4"/>
  <c r="CE45" i="4"/>
  <c r="CE44" i="4"/>
  <c r="CE43" i="4"/>
  <c r="CE42" i="4"/>
  <c r="CE41" i="4"/>
  <c r="CE40" i="4"/>
  <c r="CE39" i="4"/>
  <c r="CE38" i="4"/>
  <c r="CE37" i="4"/>
  <c r="CE36" i="4"/>
  <c r="CE35" i="4"/>
  <c r="CE34" i="4"/>
  <c r="CE33" i="4"/>
  <c r="CE32" i="4"/>
  <c r="CE31" i="4"/>
  <c r="CE30" i="4"/>
  <c r="CE29" i="4"/>
  <c r="CE28" i="4"/>
  <c r="CE27" i="4"/>
  <c r="CE26" i="4"/>
  <c r="CE25" i="4"/>
  <c r="CE24" i="4"/>
  <c r="CE23" i="4"/>
  <c r="CE22" i="4"/>
  <c r="CE21" i="4"/>
  <c r="CE20" i="4"/>
  <c r="CE19" i="4"/>
  <c r="CE18" i="4"/>
  <c r="CE17" i="4"/>
  <c r="CE16" i="4"/>
  <c r="CE15" i="4"/>
  <c r="CE14" i="4"/>
  <c r="CE13" i="4"/>
  <c r="CE12" i="4"/>
  <c r="CE11" i="4"/>
  <c r="CE10" i="4"/>
  <c r="CE9" i="4"/>
  <c r="CE8" i="4"/>
  <c r="CE7" i="4"/>
  <c r="CE6" i="4"/>
  <c r="CE5" i="4"/>
  <c r="BY59" i="4"/>
  <c r="BY58" i="4"/>
  <c r="BY57" i="4"/>
  <c r="BY56" i="4"/>
  <c r="BY55" i="4"/>
  <c r="BY54" i="4"/>
  <c r="BY53" i="4"/>
  <c r="BY52" i="4"/>
  <c r="BY51" i="4"/>
  <c r="BY50" i="4"/>
  <c r="BY49" i="4"/>
  <c r="BY48" i="4"/>
  <c r="BY47" i="4"/>
  <c r="BY46" i="4"/>
  <c r="BY45" i="4"/>
  <c r="BY44" i="4"/>
  <c r="BY43" i="4"/>
  <c r="BY42" i="4"/>
  <c r="BY41" i="4"/>
  <c r="BY40" i="4"/>
  <c r="BY39" i="4"/>
  <c r="BY38" i="4"/>
  <c r="BY37" i="4"/>
  <c r="BY36" i="4"/>
  <c r="BY35" i="4"/>
  <c r="BY34" i="4"/>
  <c r="BY33" i="4"/>
  <c r="BY32" i="4"/>
  <c r="BY31" i="4"/>
  <c r="BY30" i="4"/>
  <c r="BY29" i="4"/>
  <c r="BY28" i="4"/>
  <c r="BY27" i="4"/>
  <c r="BY26" i="4"/>
  <c r="BY25" i="4"/>
  <c r="BY24" i="4"/>
  <c r="BY23" i="4"/>
  <c r="BY22" i="4"/>
  <c r="BY21" i="4"/>
  <c r="BY20" i="4"/>
  <c r="BY19" i="4"/>
  <c r="BY18" i="4"/>
  <c r="BY17" i="4"/>
  <c r="BY16" i="4"/>
  <c r="BY15" i="4"/>
  <c r="BY14" i="4"/>
  <c r="BY13" i="4"/>
  <c r="BY12" i="4"/>
  <c r="BY11" i="4"/>
  <c r="BY10" i="4"/>
  <c r="BY9" i="4"/>
  <c r="BY8" i="4"/>
  <c r="BY7" i="4"/>
  <c r="BY6" i="4"/>
  <c r="BY5" i="4"/>
  <c r="DB6" i="4" l="1"/>
  <c r="DB14" i="4"/>
  <c r="DB22" i="4"/>
  <c r="DB30" i="4"/>
  <c r="DB38" i="4"/>
  <c r="DB46" i="4"/>
  <c r="DB54" i="4"/>
  <c r="CS5" i="4"/>
  <c r="CS13" i="4"/>
  <c r="CS21" i="4"/>
  <c r="CS29" i="4"/>
  <c r="CS37" i="4"/>
  <c r="CS45" i="4"/>
  <c r="CS53" i="4"/>
  <c r="BQ54" i="4"/>
  <c r="BQ55" i="4"/>
  <c r="BQ57" i="4"/>
  <c r="CY11" i="4"/>
  <c r="CY19" i="4"/>
  <c r="CY27" i="4"/>
  <c r="CY35" i="4"/>
  <c r="CY43" i="4"/>
  <c r="CY51" i="4"/>
  <c r="CY59" i="4"/>
  <c r="DB12" i="4"/>
  <c r="DB20" i="4"/>
  <c r="DB28" i="4"/>
  <c r="DB36" i="4"/>
  <c r="DB44" i="4"/>
  <c r="DB52" i="4"/>
  <c r="DE5" i="4"/>
  <c r="CV11" i="4"/>
  <c r="CV19" i="4"/>
  <c r="CV27" i="4"/>
  <c r="CV35" i="4"/>
  <c r="CV43" i="4"/>
  <c r="CV51" i="4"/>
  <c r="CV59" i="4"/>
  <c r="CS11" i="4"/>
  <c r="CS19" i="4"/>
  <c r="CS27" i="4"/>
  <c r="CS35" i="4"/>
  <c r="CS43" i="4"/>
  <c r="CS51" i="4"/>
  <c r="CS59" i="4"/>
  <c r="CJ57" i="4"/>
  <c r="CM10" i="4"/>
  <c r="CM18" i="4"/>
  <c r="CM26" i="4"/>
  <c r="CM34" i="4"/>
  <c r="CM42" i="4"/>
  <c r="CM50" i="4"/>
  <c r="CM58" i="4"/>
  <c r="CS55" i="4"/>
  <c r="CS7" i="4"/>
  <c r="CS15" i="4"/>
  <c r="CS23" i="4"/>
  <c r="CS31" i="4"/>
  <c r="CS39" i="4"/>
  <c r="CS47" i="4"/>
  <c r="CA34" i="4"/>
  <c r="CA42" i="4"/>
  <c r="CA50" i="4"/>
  <c r="CA58" i="4"/>
  <c r="CD27" i="4"/>
  <c r="CD35" i="4"/>
  <c r="CD43" i="4"/>
  <c r="CD51" i="4"/>
  <c r="CD59" i="4"/>
  <c r="CS9" i="4"/>
  <c r="CS17" i="4"/>
  <c r="CS25" i="4"/>
  <c r="CS33" i="4"/>
  <c r="CS41" i="4"/>
  <c r="CS49" i="4"/>
  <c r="CS57" i="4"/>
  <c r="CD10" i="4"/>
  <c r="CD18" i="4"/>
  <c r="CD26" i="4"/>
  <c r="CD34" i="4"/>
  <c r="CD42" i="4"/>
  <c r="CD50" i="4"/>
  <c r="CD58" i="4"/>
  <c r="CS8" i="4"/>
  <c r="CS16" i="4"/>
  <c r="CS24" i="4"/>
  <c r="CS32" i="4"/>
  <c r="CS40" i="4"/>
  <c r="CS48" i="4"/>
  <c r="CS56" i="4"/>
  <c r="CM48" i="4"/>
  <c r="CM56" i="4"/>
  <c r="CV6" i="4"/>
  <c r="CV14" i="4"/>
  <c r="CV22" i="4"/>
  <c r="CV30" i="4"/>
  <c r="CV38" i="4"/>
  <c r="CV46" i="4"/>
  <c r="CV54" i="4"/>
  <c r="DE9" i="4"/>
  <c r="DE17" i="4"/>
  <c r="DE25" i="4"/>
  <c r="DE33" i="4"/>
  <c r="DE41" i="4"/>
  <c r="DE49" i="4"/>
  <c r="DE57" i="4"/>
  <c r="CY8" i="4"/>
  <c r="CY16" i="4"/>
  <c r="CY24" i="4"/>
  <c r="CY32" i="4"/>
  <c r="CY40" i="4"/>
  <c r="CY48" i="4"/>
  <c r="CY56" i="4"/>
  <c r="DB9" i="4"/>
  <c r="DB17" i="4"/>
  <c r="DB25" i="4"/>
  <c r="DB33" i="4"/>
  <c r="DB41" i="4"/>
  <c r="DB49" i="4"/>
  <c r="DB57" i="4"/>
  <c r="CV9" i="4"/>
  <c r="CV17" i="4"/>
  <c r="CV25" i="4"/>
  <c r="CV33" i="4"/>
  <c r="CV41" i="4"/>
  <c r="CV49" i="4"/>
  <c r="CV57" i="4"/>
  <c r="DE12" i="4"/>
  <c r="DE20" i="4"/>
  <c r="DE28" i="4"/>
  <c r="DE36" i="4"/>
  <c r="DE44" i="4"/>
  <c r="DE52" i="4"/>
  <c r="CP40" i="4"/>
  <c r="CP48" i="4"/>
  <c r="CP56" i="4"/>
  <c r="CP49" i="4"/>
  <c r="CP57" i="4"/>
  <c r="CV12" i="4"/>
  <c r="CV20" i="4"/>
  <c r="CV28" i="4"/>
  <c r="CV36" i="4"/>
  <c r="CV44" i="4"/>
  <c r="CV52" i="4"/>
  <c r="DE7" i="4"/>
  <c r="DE15" i="4"/>
  <c r="DE23" i="4"/>
  <c r="DE31" i="4"/>
  <c r="DE39" i="4"/>
  <c r="DE47" i="4"/>
  <c r="DE55" i="4"/>
  <c r="CV5" i="4"/>
  <c r="CY6" i="4"/>
  <c r="CY14" i="4"/>
  <c r="CY22" i="4"/>
  <c r="CY30" i="4"/>
  <c r="CY38" i="4"/>
  <c r="CY46" i="4"/>
  <c r="CY54" i="4"/>
  <c r="DB7" i="4"/>
  <c r="DB15" i="4"/>
  <c r="DB23" i="4"/>
  <c r="DB31" i="4"/>
  <c r="DB39" i="4"/>
  <c r="DB47" i="4"/>
  <c r="DB55" i="4"/>
  <c r="DE8" i="4"/>
  <c r="DE16" i="4"/>
  <c r="DE24" i="4"/>
  <c r="DE32" i="4"/>
  <c r="DE40" i="4"/>
  <c r="DE48" i="4"/>
  <c r="DE56" i="4"/>
  <c r="CM35" i="4"/>
  <c r="CM43" i="4"/>
  <c r="CM51" i="4"/>
  <c r="CM59" i="4"/>
  <c r="CY7" i="4"/>
  <c r="CY15" i="4"/>
  <c r="CY23" i="4"/>
  <c r="CY31" i="4"/>
  <c r="CY39" i="4"/>
  <c r="CY47" i="4"/>
  <c r="CY55" i="4"/>
  <c r="DB8" i="4"/>
  <c r="DB16" i="4"/>
  <c r="DB24" i="4"/>
  <c r="DB32" i="4"/>
  <c r="DB40" i="4"/>
  <c r="DB48" i="4"/>
  <c r="DB56" i="4"/>
  <c r="CD11" i="4"/>
  <c r="CP14" i="4"/>
  <c r="CP22" i="4"/>
  <c r="CP30" i="4"/>
  <c r="CP38" i="4"/>
  <c r="CP46" i="4"/>
  <c r="CP54" i="4"/>
  <c r="CD19" i="4"/>
  <c r="CV10" i="4"/>
  <c r="CV18" i="4"/>
  <c r="CV26" i="4"/>
  <c r="CV34" i="4"/>
  <c r="CV42" i="4"/>
  <c r="CV50" i="4"/>
  <c r="CV58" i="4"/>
  <c r="CP11" i="4"/>
  <c r="CP27" i="4"/>
  <c r="CP35" i="4"/>
  <c r="CP43" i="4"/>
  <c r="CP51" i="4"/>
  <c r="CP59" i="4"/>
  <c r="CV7" i="4"/>
  <c r="CV15" i="4"/>
  <c r="CV23" i="4"/>
  <c r="CV31" i="4"/>
  <c r="CV39" i="4"/>
  <c r="CV47" i="4"/>
  <c r="CV55" i="4"/>
  <c r="DE10" i="4"/>
  <c r="DE18" i="4"/>
  <c r="DE26" i="4"/>
  <c r="DE34" i="4"/>
  <c r="DE42" i="4"/>
  <c r="DE50" i="4"/>
  <c r="DE58" i="4"/>
  <c r="CV8" i="4"/>
  <c r="CV24" i="4"/>
  <c r="CV40" i="4"/>
  <c r="CV56" i="4"/>
  <c r="CY25" i="4"/>
  <c r="CY41" i="4"/>
  <c r="CY57" i="4"/>
  <c r="DB26" i="4"/>
  <c r="DB34" i="4"/>
  <c r="DB58" i="4"/>
  <c r="CM14" i="4"/>
  <c r="CM22" i="4"/>
  <c r="CM30" i="4"/>
  <c r="CM38" i="4"/>
  <c r="CM46" i="4"/>
  <c r="CM54" i="4"/>
  <c r="CY10" i="4"/>
  <c r="CY18" i="4"/>
  <c r="CY26" i="4"/>
  <c r="CY34" i="4"/>
  <c r="CY42" i="4"/>
  <c r="CY50" i="4"/>
  <c r="CY58" i="4"/>
  <c r="DB11" i="4"/>
  <c r="DB19" i="4"/>
  <c r="DB27" i="4"/>
  <c r="DB35" i="4"/>
  <c r="DB43" i="4"/>
  <c r="DB51" i="4"/>
  <c r="DB59" i="4"/>
  <c r="CV16" i="4"/>
  <c r="CV32" i="4"/>
  <c r="CV48" i="4"/>
  <c r="CY9" i="4"/>
  <c r="CY17" i="4"/>
  <c r="CY33" i="4"/>
  <c r="CY49" i="4"/>
  <c r="DB10" i="4"/>
  <c r="DB18" i="4"/>
  <c r="DB42" i="4"/>
  <c r="DB50" i="4"/>
  <c r="CJ14" i="4"/>
  <c r="CJ22" i="4"/>
  <c r="CJ30" i="4"/>
  <c r="CJ38" i="4"/>
  <c r="CJ54" i="4"/>
  <c r="CM31" i="4"/>
  <c r="CM39" i="4"/>
  <c r="CM47" i="4"/>
  <c r="CM55" i="4"/>
  <c r="CM41" i="4"/>
  <c r="CM49" i="4"/>
  <c r="CM57" i="4"/>
  <c r="CP10" i="4"/>
  <c r="CP18" i="4"/>
  <c r="CP26" i="4"/>
  <c r="CP34" i="4"/>
  <c r="CP42" i="4"/>
  <c r="CP50" i="4"/>
  <c r="CP58" i="4"/>
  <c r="CM5" i="4"/>
  <c r="CM21" i="4"/>
  <c r="CM37" i="4"/>
  <c r="CM45" i="4"/>
  <c r="CP6" i="4"/>
  <c r="CG51" i="4"/>
  <c r="CG59" i="4"/>
  <c r="CJ5" i="4"/>
  <c r="CJ13" i="4"/>
  <c r="CJ29" i="4"/>
  <c r="CJ37" i="4"/>
  <c r="CJ45" i="4"/>
  <c r="CM6" i="4"/>
  <c r="CJ36" i="4"/>
  <c r="CM13" i="4"/>
  <c r="CM29" i="4"/>
  <c r="CM53" i="4"/>
  <c r="CA41" i="4"/>
  <c r="CA49" i="4"/>
  <c r="CA57" i="4"/>
  <c r="CG12" i="4"/>
  <c r="CG20" i="4"/>
  <c r="CG28" i="4"/>
  <c r="CG44" i="4"/>
  <c r="CG52" i="4"/>
  <c r="CJ6" i="4"/>
  <c r="CJ51" i="4"/>
  <c r="CJ59" i="4"/>
  <c r="CM44" i="4"/>
  <c r="CM52" i="4"/>
  <c r="CP5" i="4"/>
  <c r="CP29" i="4"/>
  <c r="CP37" i="4"/>
  <c r="CP45" i="4"/>
  <c r="CP53" i="4"/>
  <c r="CJ52" i="4"/>
  <c r="CJ53" i="4"/>
  <c r="CJ42" i="4"/>
  <c r="CJ50" i="4"/>
  <c r="CJ27" i="4"/>
  <c r="CJ58" i="4"/>
  <c r="CJ7" i="4"/>
  <c r="CJ15" i="4"/>
  <c r="CJ23" i="4"/>
  <c r="CJ31" i="4"/>
  <c r="CJ47" i="4"/>
  <c r="CJ55" i="4"/>
  <c r="CJ32" i="4"/>
  <c r="CJ40" i="4"/>
  <c r="CJ56" i="4"/>
  <c r="CJ43" i="4"/>
  <c r="CJ44" i="4"/>
  <c r="CJ41" i="4"/>
  <c r="CJ49" i="4"/>
  <c r="CP7" i="4"/>
  <c r="CP15" i="4"/>
  <c r="CP23" i="4"/>
  <c r="CP8" i="4"/>
  <c r="CP16" i="4"/>
  <c r="CP24" i="4"/>
  <c r="CP32" i="4"/>
  <c r="CP9" i="4"/>
  <c r="CP17" i="4"/>
  <c r="CP25" i="4"/>
  <c r="CP33" i="4"/>
  <c r="CP41" i="4"/>
  <c r="CP19" i="4"/>
  <c r="CP13" i="4"/>
  <c r="CP21" i="4"/>
  <c r="CS10" i="4"/>
  <c r="CS18" i="4"/>
  <c r="CS12" i="4"/>
  <c r="CS20" i="4"/>
  <c r="CS28" i="4"/>
  <c r="CS36" i="4"/>
  <c r="CS44" i="4"/>
  <c r="CS52" i="4"/>
  <c r="CP12" i="4"/>
  <c r="CP20" i="4"/>
  <c r="CP28" i="4"/>
  <c r="CP36" i="4"/>
  <c r="CP44" i="4"/>
  <c r="CP52" i="4"/>
  <c r="DE11" i="4"/>
  <c r="DE19" i="4"/>
  <c r="DE27" i="4"/>
  <c r="DE35" i="4"/>
  <c r="DE43" i="4"/>
  <c r="DE51" i="4"/>
  <c r="DE59" i="4"/>
  <c r="DE13" i="4"/>
  <c r="DE21" i="4"/>
  <c r="DE29" i="4"/>
  <c r="DE37" i="4"/>
  <c r="DE45" i="4"/>
  <c r="DE53" i="4"/>
  <c r="DE6" i="4"/>
  <c r="DE14" i="4"/>
  <c r="DE22" i="4"/>
  <c r="DE30" i="4"/>
  <c r="DE38" i="4"/>
  <c r="DE46" i="4"/>
  <c r="DE54" i="4"/>
  <c r="DB13" i="4"/>
  <c r="DB21" i="4"/>
  <c r="DB29" i="4"/>
  <c r="DB37" i="4"/>
  <c r="DB45" i="4"/>
  <c r="DB53" i="4"/>
  <c r="DB5" i="4"/>
  <c r="CY12" i="4"/>
  <c r="CY20" i="4"/>
  <c r="CY28" i="4"/>
  <c r="CY36" i="4"/>
  <c r="CY44" i="4"/>
  <c r="CY52" i="4"/>
  <c r="CY13" i="4"/>
  <c r="CY21" i="4"/>
  <c r="CY29" i="4"/>
  <c r="CY37" i="4"/>
  <c r="CY45" i="4"/>
  <c r="CY53" i="4"/>
  <c r="CY5" i="4"/>
  <c r="CV13" i="4"/>
  <c r="CV21" i="4"/>
  <c r="CV29" i="4"/>
  <c r="CV37" i="4"/>
  <c r="CV45" i="4"/>
  <c r="CV53" i="4"/>
  <c r="CG36" i="4"/>
  <c r="CJ46" i="4"/>
  <c r="CJ39" i="4"/>
  <c r="CG54" i="4"/>
  <c r="CJ48" i="4"/>
  <c r="CJ34" i="4"/>
  <c r="CG57" i="4"/>
  <c r="CJ35" i="4"/>
  <c r="CA39" i="4"/>
  <c r="CA47" i="4"/>
  <c r="CA55" i="4"/>
  <c r="CD8" i="4"/>
  <c r="CD16" i="4"/>
  <c r="CD24" i="4"/>
  <c r="CD32" i="4"/>
  <c r="CD40" i="4"/>
  <c r="CD48" i="4"/>
  <c r="CD56" i="4"/>
  <c r="CG10" i="4"/>
  <c r="CG18" i="4"/>
  <c r="CG26" i="4"/>
  <c r="CG34" i="4"/>
  <c r="CG42" i="4"/>
  <c r="CG50" i="4"/>
  <c r="CG58" i="4"/>
  <c r="CA40" i="4"/>
  <c r="CA48" i="4"/>
  <c r="CA56" i="4"/>
  <c r="CD9" i="4"/>
  <c r="CD17" i="4"/>
  <c r="CD25" i="4"/>
  <c r="CD33" i="4"/>
  <c r="CD41" i="4"/>
  <c r="CD49" i="4"/>
  <c r="CD57" i="4"/>
  <c r="CG11" i="4"/>
  <c r="CG27" i="4"/>
  <c r="CG35" i="4"/>
  <c r="CA12" i="4"/>
  <c r="CA20" i="4"/>
  <c r="CA36" i="4"/>
  <c r="CA44" i="4"/>
  <c r="CA52" i="4"/>
  <c r="CG39" i="4"/>
  <c r="CG47" i="4"/>
  <c r="CG55" i="4"/>
  <c r="CA13" i="4"/>
  <c r="CA29" i="4"/>
  <c r="CA37" i="4"/>
  <c r="CA45" i="4"/>
  <c r="CA53" i="4"/>
  <c r="CD6" i="4"/>
  <c r="CD14" i="4"/>
  <c r="CD22" i="4"/>
  <c r="CD30" i="4"/>
  <c r="CD38" i="4"/>
  <c r="CD46" i="4"/>
  <c r="CD54" i="4"/>
  <c r="CG40" i="4"/>
  <c r="CG48" i="4"/>
  <c r="CG56" i="4"/>
  <c r="CA6" i="4"/>
  <c r="CA14" i="4"/>
  <c r="CA22" i="4"/>
  <c r="CA30" i="4"/>
  <c r="CA38" i="4"/>
  <c r="CA46" i="4"/>
  <c r="CA54" i="4"/>
  <c r="CD7" i="4"/>
  <c r="CD15" i="4"/>
  <c r="CD23" i="4"/>
  <c r="CD31" i="4"/>
  <c r="CD39" i="4"/>
  <c r="CD47" i="4"/>
  <c r="CD55" i="4"/>
  <c r="CG41" i="4"/>
  <c r="CG49" i="4"/>
  <c r="CG43" i="4"/>
  <c r="CG37" i="4"/>
  <c r="CG45" i="4"/>
  <c r="CG53" i="4"/>
  <c r="CA11" i="4"/>
  <c r="CA27" i="4"/>
  <c r="CA35" i="4"/>
  <c r="CA43" i="4"/>
  <c r="CA51" i="4"/>
  <c r="CA59" i="4"/>
  <c r="CG6" i="4"/>
  <c r="CG14" i="4"/>
  <c r="CG22" i="4"/>
  <c r="CG30" i="4"/>
  <c r="CG38" i="4"/>
  <c r="CG46" i="4"/>
  <c r="CM9" i="4"/>
  <c r="CM17" i="4"/>
  <c r="CM25" i="4"/>
  <c r="CM33" i="4"/>
  <c r="CM11" i="4"/>
  <c r="CM19" i="4"/>
  <c r="CM27" i="4"/>
  <c r="CM12" i="4"/>
  <c r="CM20" i="4"/>
  <c r="CM28" i="4"/>
  <c r="CM36" i="4"/>
  <c r="CM7" i="4"/>
  <c r="CM15" i="4"/>
  <c r="CM23" i="4"/>
  <c r="CM8" i="4"/>
  <c r="CM16" i="4"/>
  <c r="CM24" i="4"/>
  <c r="CM32" i="4"/>
  <c r="CM40" i="4"/>
  <c r="CJ8" i="4"/>
  <c r="CJ16" i="4"/>
  <c r="CJ24" i="4"/>
  <c r="CJ9" i="4"/>
  <c r="CJ17" i="4"/>
  <c r="CJ25" i="4"/>
  <c r="CJ33" i="4"/>
  <c r="CJ10" i="4"/>
  <c r="CJ18" i="4"/>
  <c r="CJ26" i="4"/>
  <c r="CJ11" i="4"/>
  <c r="CJ19" i="4"/>
  <c r="CJ12" i="4"/>
  <c r="CJ20" i="4"/>
  <c r="CJ28" i="4"/>
  <c r="CJ21" i="4"/>
  <c r="CG7" i="4"/>
  <c r="CG15" i="4"/>
  <c r="CG23" i="4"/>
  <c r="CG31" i="4"/>
  <c r="CG8" i="4"/>
  <c r="CG16" i="4"/>
  <c r="CG24" i="4"/>
  <c r="CG32" i="4"/>
  <c r="CG9" i="4"/>
  <c r="CG17" i="4"/>
  <c r="CG25" i="4"/>
  <c r="CG33" i="4"/>
  <c r="CG19" i="4"/>
  <c r="CG13" i="4"/>
  <c r="CG21" i="4"/>
  <c r="CG29" i="4"/>
  <c r="CG5" i="4"/>
  <c r="CD12" i="4"/>
  <c r="CD20" i="4"/>
  <c r="CD28" i="4"/>
  <c r="CD36" i="4"/>
  <c r="CD44" i="4"/>
  <c r="CD52" i="4"/>
  <c r="CD13" i="4"/>
  <c r="CD21" i="4"/>
  <c r="CD29" i="4"/>
  <c r="CD37" i="4"/>
  <c r="CD45" i="4"/>
  <c r="CD53" i="4"/>
  <c r="CD5" i="4"/>
  <c r="CA8" i="4"/>
  <c r="CA16" i="4"/>
  <c r="CA24" i="4"/>
  <c r="CA32" i="4"/>
  <c r="CA28" i="4"/>
  <c r="CA9" i="4"/>
  <c r="CA17" i="4"/>
  <c r="CA25" i="4"/>
  <c r="CA33" i="4"/>
  <c r="CA10" i="4"/>
  <c r="CA18" i="4"/>
  <c r="CA26" i="4"/>
  <c r="CA19" i="4"/>
  <c r="CA21" i="4"/>
  <c r="CA7" i="4"/>
  <c r="CA15" i="4"/>
  <c r="CA23" i="4"/>
  <c r="CA31" i="4"/>
  <c r="CA5" i="4"/>
  <c r="BV59" i="4" l="1"/>
  <c r="BX59" i="4" s="1"/>
  <c r="BV58" i="4"/>
  <c r="BX58" i="4" s="1"/>
  <c r="BV57" i="4"/>
  <c r="BX57" i="4" s="1"/>
  <c r="BV56" i="4"/>
  <c r="BX56" i="4" s="1"/>
  <c r="BV55" i="4"/>
  <c r="BX55" i="4" s="1"/>
  <c r="BV54" i="4"/>
  <c r="BX54" i="4" s="1"/>
  <c r="BV53" i="4"/>
  <c r="BX53" i="4" s="1"/>
  <c r="BV52" i="4"/>
  <c r="BX52" i="4" s="1"/>
  <c r="BV51" i="4"/>
  <c r="BX51" i="4" s="1"/>
  <c r="BV50" i="4"/>
  <c r="BX50" i="4" s="1"/>
  <c r="BV49" i="4"/>
  <c r="BX49" i="4" s="1"/>
  <c r="BV48" i="4"/>
  <c r="BX48" i="4" s="1"/>
  <c r="BV47" i="4"/>
  <c r="BX47" i="4" s="1"/>
  <c r="BV46" i="4"/>
  <c r="BX46" i="4" s="1"/>
  <c r="BV45" i="4"/>
  <c r="BX45" i="4" s="1"/>
  <c r="BV44" i="4"/>
  <c r="BX44" i="4" s="1"/>
  <c r="BV43" i="4"/>
  <c r="BX43" i="4" s="1"/>
  <c r="BV42" i="4"/>
  <c r="BX42" i="4" s="1"/>
  <c r="BV41" i="4"/>
  <c r="BX41" i="4" s="1"/>
  <c r="BV40" i="4"/>
  <c r="BX40" i="4" s="1"/>
  <c r="BV39" i="4"/>
  <c r="BX39" i="4" s="1"/>
  <c r="BV38" i="4"/>
  <c r="BX38" i="4" s="1"/>
  <c r="BV37" i="4"/>
  <c r="BX37" i="4" s="1"/>
  <c r="BV36" i="4"/>
  <c r="BX36" i="4" s="1"/>
  <c r="BV35" i="4"/>
  <c r="BX35" i="4" s="1"/>
  <c r="BV34" i="4"/>
  <c r="BX34" i="4" s="1"/>
  <c r="BV33" i="4"/>
  <c r="BX33" i="4" s="1"/>
  <c r="BV32" i="4"/>
  <c r="BX32" i="4" s="1"/>
  <c r="BV31" i="4"/>
  <c r="BX31" i="4" s="1"/>
  <c r="BV30" i="4"/>
  <c r="BX30" i="4" s="1"/>
  <c r="BV29" i="4"/>
  <c r="BX29" i="4" s="1"/>
  <c r="BV28" i="4"/>
  <c r="BX28" i="4" s="1"/>
  <c r="BV27" i="4"/>
  <c r="BX27" i="4" s="1"/>
  <c r="BV26" i="4"/>
  <c r="BX26" i="4" s="1"/>
  <c r="BV25" i="4"/>
  <c r="BX25" i="4" s="1"/>
  <c r="BV24" i="4"/>
  <c r="BX24" i="4" s="1"/>
  <c r="BV23" i="4"/>
  <c r="BX23" i="4" s="1"/>
  <c r="BV22" i="4"/>
  <c r="BX22" i="4" s="1"/>
  <c r="BV21" i="4"/>
  <c r="BX21" i="4" s="1"/>
  <c r="BV20" i="4"/>
  <c r="BX20" i="4" s="1"/>
  <c r="BV19" i="4"/>
  <c r="BX19" i="4" s="1"/>
  <c r="BV18" i="4"/>
  <c r="BX18" i="4" s="1"/>
  <c r="BV17" i="4"/>
  <c r="BX17" i="4" s="1"/>
  <c r="BV16" i="4"/>
  <c r="BX16" i="4" s="1"/>
  <c r="BV15" i="4"/>
  <c r="BX15" i="4" s="1"/>
  <c r="BV14" i="4"/>
  <c r="BX14" i="4" s="1"/>
  <c r="BV13" i="4"/>
  <c r="BX13" i="4" s="1"/>
  <c r="BV12" i="4"/>
  <c r="BX12" i="4" s="1"/>
  <c r="BV11" i="4"/>
  <c r="BX11" i="4" s="1"/>
  <c r="BV10" i="4"/>
  <c r="BX10" i="4" s="1"/>
  <c r="BV9" i="4"/>
  <c r="BX9" i="4" s="1"/>
  <c r="BV8" i="4"/>
  <c r="BX8" i="4" s="1"/>
  <c r="BV7" i="4"/>
  <c r="BX7" i="4" s="1"/>
  <c r="BV6" i="4"/>
  <c r="BX6" i="4" s="1"/>
  <c r="BV5" i="4"/>
  <c r="BX5" i="4" s="1"/>
  <c r="BS59" i="4"/>
  <c r="BU59" i="4" s="1"/>
  <c r="BS58" i="4"/>
  <c r="BU58" i="4" s="1"/>
  <c r="BS57" i="4"/>
  <c r="BU57" i="4" s="1"/>
  <c r="BS56" i="4"/>
  <c r="BU56" i="4" s="1"/>
  <c r="BS55" i="4"/>
  <c r="BU55" i="4" s="1"/>
  <c r="BS54" i="4"/>
  <c r="BU54" i="4" s="1"/>
  <c r="BS53" i="4"/>
  <c r="BU53" i="4" s="1"/>
  <c r="BS52" i="4"/>
  <c r="BU52" i="4" s="1"/>
  <c r="BS51" i="4"/>
  <c r="BU51" i="4" s="1"/>
  <c r="BS50" i="4"/>
  <c r="BU50" i="4" s="1"/>
  <c r="BS49" i="4"/>
  <c r="BU49" i="4" s="1"/>
  <c r="BS48" i="4"/>
  <c r="BU48" i="4" s="1"/>
  <c r="BS47" i="4"/>
  <c r="BU47" i="4" s="1"/>
  <c r="BS46" i="4"/>
  <c r="BU46" i="4" s="1"/>
  <c r="BS45" i="4"/>
  <c r="BU45" i="4" s="1"/>
  <c r="BS44" i="4"/>
  <c r="BU44" i="4" s="1"/>
  <c r="BS43" i="4"/>
  <c r="BU43" i="4" s="1"/>
  <c r="BS42" i="4"/>
  <c r="BU42" i="4" s="1"/>
  <c r="BS41" i="4"/>
  <c r="BU41" i="4" s="1"/>
  <c r="BS40" i="4"/>
  <c r="BU40" i="4" s="1"/>
  <c r="BS39" i="4"/>
  <c r="BU39" i="4" s="1"/>
  <c r="BS38" i="4"/>
  <c r="BU38" i="4" s="1"/>
  <c r="BS37" i="4"/>
  <c r="BU37" i="4" s="1"/>
  <c r="BS36" i="4"/>
  <c r="BU36" i="4" s="1"/>
  <c r="BS35" i="4"/>
  <c r="BU35" i="4" s="1"/>
  <c r="BS34" i="4"/>
  <c r="BU34" i="4" s="1"/>
  <c r="BS33" i="4"/>
  <c r="BU33" i="4" s="1"/>
  <c r="BS32" i="4"/>
  <c r="BU32" i="4" s="1"/>
  <c r="BS31" i="4"/>
  <c r="BU31" i="4" s="1"/>
  <c r="BS30" i="4"/>
  <c r="BU30" i="4" s="1"/>
  <c r="BS29" i="4"/>
  <c r="BU29" i="4" s="1"/>
  <c r="BS28" i="4"/>
  <c r="BU28" i="4" s="1"/>
  <c r="BS27" i="4"/>
  <c r="BU27" i="4" s="1"/>
  <c r="BS26" i="4"/>
  <c r="BU26" i="4" s="1"/>
  <c r="BS25" i="4"/>
  <c r="BU25" i="4" s="1"/>
  <c r="BS24" i="4"/>
  <c r="BU24" i="4" s="1"/>
  <c r="BS23" i="4"/>
  <c r="BU23" i="4" s="1"/>
  <c r="BS22" i="4"/>
  <c r="BU22" i="4" s="1"/>
  <c r="BS21" i="4"/>
  <c r="BU21" i="4" s="1"/>
  <c r="BS20" i="4"/>
  <c r="BU20" i="4" s="1"/>
  <c r="BS19" i="4"/>
  <c r="BU19" i="4" s="1"/>
  <c r="BS18" i="4"/>
  <c r="BU18" i="4" s="1"/>
  <c r="BS17" i="4"/>
  <c r="BU17" i="4" s="1"/>
  <c r="BS16" i="4"/>
  <c r="BU16" i="4" s="1"/>
  <c r="BS15" i="4"/>
  <c r="BU15" i="4" s="1"/>
  <c r="BS14" i="4"/>
  <c r="BU14" i="4" s="1"/>
  <c r="BS13" i="4"/>
  <c r="BU13" i="4" s="1"/>
  <c r="BS12" i="4"/>
  <c r="BU12" i="4" s="1"/>
  <c r="BS11" i="4"/>
  <c r="BU11" i="4" s="1"/>
  <c r="BS10" i="4"/>
  <c r="BU10" i="4" s="1"/>
  <c r="BS9" i="4"/>
  <c r="BU9" i="4" s="1"/>
  <c r="BS8" i="4"/>
  <c r="BU8" i="4" s="1"/>
  <c r="BS7" i="4"/>
  <c r="BU7" i="4" s="1"/>
  <c r="BS6" i="4"/>
  <c r="BU6" i="4" s="1"/>
  <c r="BS5" i="4"/>
  <c r="BU5" i="4" s="1"/>
  <c r="BP59" i="4"/>
  <c r="BR59" i="4" s="1"/>
  <c r="BP58" i="4"/>
  <c r="BR58" i="4" s="1"/>
  <c r="BP57" i="4"/>
  <c r="BR57" i="4" s="1"/>
  <c r="BP56" i="4"/>
  <c r="BR56" i="4" s="1"/>
  <c r="BP55" i="4"/>
  <c r="BR55" i="4" s="1"/>
  <c r="BP54" i="4"/>
  <c r="BR54" i="4" s="1"/>
  <c r="BP53" i="4"/>
  <c r="BR53" i="4" s="1"/>
  <c r="BP52" i="4"/>
  <c r="BR52" i="4" s="1"/>
  <c r="BP51" i="4"/>
  <c r="BR51" i="4" s="1"/>
  <c r="BP50" i="4"/>
  <c r="BR50" i="4" s="1"/>
  <c r="BP49" i="4"/>
  <c r="BR49" i="4" s="1"/>
  <c r="BP48" i="4"/>
  <c r="BR48" i="4" s="1"/>
  <c r="BP47" i="4"/>
  <c r="BR47" i="4" s="1"/>
  <c r="BP46" i="4"/>
  <c r="BR46" i="4" s="1"/>
  <c r="BP45" i="4"/>
  <c r="BR45" i="4" s="1"/>
  <c r="BP44" i="4"/>
  <c r="BR44" i="4" s="1"/>
  <c r="BP43" i="4"/>
  <c r="BR43" i="4" s="1"/>
  <c r="BP42" i="4"/>
  <c r="BR42" i="4" s="1"/>
  <c r="BP41" i="4"/>
  <c r="BR41" i="4" s="1"/>
  <c r="BP40" i="4"/>
  <c r="BR40" i="4" s="1"/>
  <c r="BP39" i="4"/>
  <c r="BR39" i="4" s="1"/>
  <c r="BP38" i="4"/>
  <c r="BR38" i="4" s="1"/>
  <c r="BP37" i="4"/>
  <c r="BR37" i="4" s="1"/>
  <c r="BP36" i="4"/>
  <c r="BR36" i="4" s="1"/>
  <c r="BP35" i="4"/>
  <c r="BR35" i="4" s="1"/>
  <c r="BP34" i="4"/>
  <c r="BR34" i="4" s="1"/>
  <c r="BP33" i="4"/>
  <c r="BR33" i="4" s="1"/>
  <c r="BP32" i="4"/>
  <c r="BR32" i="4" s="1"/>
  <c r="BP31" i="4"/>
  <c r="BR31" i="4" s="1"/>
  <c r="BP30" i="4"/>
  <c r="BR30" i="4" s="1"/>
  <c r="BP29" i="4"/>
  <c r="BR29" i="4" s="1"/>
  <c r="BP28" i="4"/>
  <c r="BR28" i="4" s="1"/>
  <c r="BP27" i="4"/>
  <c r="BR27" i="4" s="1"/>
  <c r="BP26" i="4"/>
  <c r="BR26" i="4" s="1"/>
  <c r="BP25" i="4"/>
  <c r="BR25" i="4" s="1"/>
  <c r="BP24" i="4"/>
  <c r="BR24" i="4" s="1"/>
  <c r="BP23" i="4"/>
  <c r="BR23" i="4" s="1"/>
  <c r="BP22" i="4"/>
  <c r="BR22" i="4" s="1"/>
  <c r="BP21" i="4"/>
  <c r="BR21" i="4" s="1"/>
  <c r="BP20" i="4"/>
  <c r="BR20" i="4" s="1"/>
  <c r="BP19" i="4"/>
  <c r="BR19" i="4" s="1"/>
  <c r="BP18" i="4"/>
  <c r="BR18" i="4" s="1"/>
  <c r="BP17" i="4"/>
  <c r="BR17" i="4" s="1"/>
  <c r="BP16" i="4"/>
  <c r="BR16" i="4" s="1"/>
  <c r="BP15" i="4"/>
  <c r="BR15" i="4" s="1"/>
  <c r="BP14" i="4"/>
  <c r="BR14" i="4" s="1"/>
  <c r="BP13" i="4"/>
  <c r="BR13" i="4" s="1"/>
  <c r="BP12" i="4"/>
  <c r="BR12" i="4" s="1"/>
  <c r="BP11" i="4"/>
  <c r="BR11" i="4" s="1"/>
  <c r="BP10" i="4"/>
  <c r="BR10" i="4" s="1"/>
  <c r="BP9" i="4"/>
  <c r="BR9" i="4" s="1"/>
  <c r="BP8" i="4"/>
  <c r="BR8" i="4" s="1"/>
  <c r="BP7" i="4"/>
  <c r="BR7" i="4" s="1"/>
  <c r="BP6" i="4"/>
  <c r="BR6" i="4" s="1"/>
  <c r="BP5" i="4"/>
  <c r="BR5" i="4" s="1"/>
  <c r="BM59" i="4"/>
  <c r="BO59" i="4" s="1"/>
  <c r="BM58" i="4"/>
  <c r="BO58" i="4" s="1"/>
  <c r="BM57" i="4"/>
  <c r="BO57" i="4" s="1"/>
  <c r="BM56" i="4"/>
  <c r="BO56" i="4" s="1"/>
  <c r="BM55" i="4"/>
  <c r="BO55" i="4" s="1"/>
  <c r="BM54" i="4"/>
  <c r="BO54" i="4" s="1"/>
  <c r="BM53" i="4"/>
  <c r="BO53" i="4" s="1"/>
  <c r="BM52" i="4"/>
  <c r="BO52" i="4" s="1"/>
  <c r="BM51" i="4"/>
  <c r="BO51" i="4" s="1"/>
  <c r="BM50" i="4"/>
  <c r="BO50" i="4" s="1"/>
  <c r="BM49" i="4"/>
  <c r="BO49" i="4" s="1"/>
  <c r="BM48" i="4"/>
  <c r="BO48" i="4" s="1"/>
  <c r="BM47" i="4"/>
  <c r="BO47" i="4" s="1"/>
  <c r="BM46" i="4"/>
  <c r="BO46" i="4" s="1"/>
  <c r="BM45" i="4"/>
  <c r="BO45" i="4" s="1"/>
  <c r="BM44" i="4"/>
  <c r="BO44" i="4" s="1"/>
  <c r="BM43" i="4"/>
  <c r="BO43" i="4" s="1"/>
  <c r="BM42" i="4"/>
  <c r="BO42" i="4" s="1"/>
  <c r="BM41" i="4"/>
  <c r="BO41" i="4" s="1"/>
  <c r="BM40" i="4"/>
  <c r="BO40" i="4" s="1"/>
  <c r="BM39" i="4"/>
  <c r="BO39" i="4" s="1"/>
  <c r="BM38" i="4"/>
  <c r="BO38" i="4" s="1"/>
  <c r="BM37" i="4"/>
  <c r="BO37" i="4" s="1"/>
  <c r="BM36" i="4"/>
  <c r="BO36" i="4" s="1"/>
  <c r="BM35" i="4"/>
  <c r="BO35" i="4" s="1"/>
  <c r="BM34" i="4"/>
  <c r="BO34" i="4" s="1"/>
  <c r="BM33" i="4"/>
  <c r="BO33" i="4" s="1"/>
  <c r="BM32" i="4"/>
  <c r="BO32" i="4" s="1"/>
  <c r="BM31" i="4"/>
  <c r="BO31" i="4" s="1"/>
  <c r="BM30" i="4"/>
  <c r="BO30" i="4" s="1"/>
  <c r="BM29" i="4"/>
  <c r="BO29" i="4" s="1"/>
  <c r="BM28" i="4"/>
  <c r="BO28" i="4" s="1"/>
  <c r="BM27" i="4"/>
  <c r="BO27" i="4" s="1"/>
  <c r="BM26" i="4"/>
  <c r="BO26" i="4" s="1"/>
  <c r="BM25" i="4"/>
  <c r="BO25" i="4" s="1"/>
  <c r="BM24" i="4"/>
  <c r="BO24" i="4" s="1"/>
  <c r="BM23" i="4"/>
  <c r="BO23" i="4" s="1"/>
  <c r="BM22" i="4"/>
  <c r="BO22" i="4" s="1"/>
  <c r="BM21" i="4"/>
  <c r="BO21" i="4" s="1"/>
  <c r="BM20" i="4"/>
  <c r="BO20" i="4" s="1"/>
  <c r="BM19" i="4"/>
  <c r="BO19" i="4" s="1"/>
  <c r="BM18" i="4"/>
  <c r="BO18" i="4" s="1"/>
  <c r="BM17" i="4"/>
  <c r="BO17" i="4" s="1"/>
  <c r="BM16" i="4"/>
  <c r="BO16" i="4" s="1"/>
  <c r="BM15" i="4"/>
  <c r="BO15" i="4" s="1"/>
  <c r="BM14" i="4"/>
  <c r="BO14" i="4" s="1"/>
  <c r="BM13" i="4"/>
  <c r="BO13" i="4" s="1"/>
  <c r="BM12" i="4"/>
  <c r="BO12" i="4" s="1"/>
  <c r="BM11" i="4"/>
  <c r="BO11" i="4" s="1"/>
  <c r="BM10" i="4"/>
  <c r="BO10" i="4" s="1"/>
  <c r="BM9" i="4"/>
  <c r="BO9" i="4" s="1"/>
  <c r="BM8" i="4"/>
  <c r="BO8" i="4" s="1"/>
  <c r="BM7" i="4"/>
  <c r="BO7" i="4" s="1"/>
  <c r="BM6" i="4"/>
  <c r="BO6" i="4" s="1"/>
  <c r="BM5" i="4"/>
  <c r="BO5" i="4" s="1"/>
  <c r="BJ59" i="4"/>
  <c r="BL59" i="4" s="1"/>
  <c r="BJ58" i="4"/>
  <c r="BL58" i="4" s="1"/>
  <c r="BJ57" i="4"/>
  <c r="BL57" i="4" s="1"/>
  <c r="BJ56" i="4"/>
  <c r="BL56" i="4" s="1"/>
  <c r="BJ55" i="4"/>
  <c r="BL55" i="4" s="1"/>
  <c r="BJ54" i="4"/>
  <c r="BL54" i="4" s="1"/>
  <c r="BJ53" i="4"/>
  <c r="BL53" i="4" s="1"/>
  <c r="BJ52" i="4"/>
  <c r="BL52" i="4" s="1"/>
  <c r="BJ51" i="4"/>
  <c r="BL51" i="4" s="1"/>
  <c r="BJ50" i="4"/>
  <c r="BL50" i="4" s="1"/>
  <c r="BJ49" i="4"/>
  <c r="BL49" i="4" s="1"/>
  <c r="BJ48" i="4"/>
  <c r="BL48" i="4" s="1"/>
  <c r="BJ47" i="4"/>
  <c r="BL47" i="4" s="1"/>
  <c r="BJ46" i="4"/>
  <c r="BL46" i="4" s="1"/>
  <c r="BJ45" i="4"/>
  <c r="BL45" i="4" s="1"/>
  <c r="BJ44" i="4"/>
  <c r="BL44" i="4" s="1"/>
  <c r="BJ43" i="4"/>
  <c r="BL43" i="4" s="1"/>
  <c r="BJ42" i="4"/>
  <c r="BL42" i="4" s="1"/>
  <c r="BJ41" i="4"/>
  <c r="BL41" i="4" s="1"/>
  <c r="BJ40" i="4"/>
  <c r="BL40" i="4" s="1"/>
  <c r="BJ39" i="4"/>
  <c r="BL39" i="4" s="1"/>
  <c r="BJ38" i="4"/>
  <c r="BL38" i="4" s="1"/>
  <c r="BJ37" i="4"/>
  <c r="BL37" i="4" s="1"/>
  <c r="BJ36" i="4"/>
  <c r="BL36" i="4" s="1"/>
  <c r="BJ35" i="4"/>
  <c r="BL35" i="4" s="1"/>
  <c r="BJ34" i="4"/>
  <c r="BL34" i="4" s="1"/>
  <c r="BJ33" i="4"/>
  <c r="BL33" i="4" s="1"/>
  <c r="BJ32" i="4"/>
  <c r="BL32" i="4" s="1"/>
  <c r="BJ31" i="4"/>
  <c r="BL31" i="4" s="1"/>
  <c r="BJ30" i="4"/>
  <c r="BL30" i="4" s="1"/>
  <c r="BJ29" i="4"/>
  <c r="BL29" i="4" s="1"/>
  <c r="BJ28" i="4"/>
  <c r="BL28" i="4" s="1"/>
  <c r="BJ27" i="4"/>
  <c r="BL27" i="4" s="1"/>
  <c r="BJ26" i="4"/>
  <c r="BL26" i="4" s="1"/>
  <c r="BJ25" i="4"/>
  <c r="BL25" i="4" s="1"/>
  <c r="BJ24" i="4"/>
  <c r="BL24" i="4" s="1"/>
  <c r="BJ23" i="4"/>
  <c r="BL23" i="4" s="1"/>
  <c r="BJ22" i="4"/>
  <c r="BL22" i="4" s="1"/>
  <c r="BJ21" i="4"/>
  <c r="BL21" i="4" s="1"/>
  <c r="BJ20" i="4"/>
  <c r="BL20" i="4" s="1"/>
  <c r="BJ19" i="4"/>
  <c r="BL19" i="4" s="1"/>
  <c r="BJ18" i="4"/>
  <c r="BL18" i="4" s="1"/>
  <c r="BJ17" i="4"/>
  <c r="BL17" i="4" s="1"/>
  <c r="BJ16" i="4"/>
  <c r="BL16" i="4" s="1"/>
  <c r="BJ15" i="4"/>
  <c r="BL15" i="4" s="1"/>
  <c r="BJ14" i="4"/>
  <c r="BL14" i="4" s="1"/>
  <c r="BJ13" i="4"/>
  <c r="BL13" i="4" s="1"/>
  <c r="BJ12" i="4"/>
  <c r="BL12" i="4" s="1"/>
  <c r="BJ11" i="4"/>
  <c r="BL11" i="4" s="1"/>
  <c r="BJ10" i="4"/>
  <c r="BL10" i="4" s="1"/>
  <c r="BJ9" i="4"/>
  <c r="BL9" i="4" s="1"/>
  <c r="BJ8" i="4"/>
  <c r="BL8" i="4" s="1"/>
  <c r="BJ7" i="4"/>
  <c r="BL7" i="4" s="1"/>
  <c r="BJ6" i="4"/>
  <c r="BL6" i="4" s="1"/>
  <c r="BJ5" i="4"/>
  <c r="BL5" i="4" s="1"/>
  <c r="BG59" i="4"/>
  <c r="BI59" i="4" s="1"/>
  <c r="BG58" i="4"/>
  <c r="BI58" i="4" s="1"/>
  <c r="BG57" i="4"/>
  <c r="BI57" i="4" s="1"/>
  <c r="BG56" i="4"/>
  <c r="BI56" i="4" s="1"/>
  <c r="BG55" i="4"/>
  <c r="BI55" i="4" s="1"/>
  <c r="BG54" i="4"/>
  <c r="BI54" i="4" s="1"/>
  <c r="BG53" i="4"/>
  <c r="BI53" i="4" s="1"/>
  <c r="BG52" i="4"/>
  <c r="BI52" i="4" s="1"/>
  <c r="BG51" i="4"/>
  <c r="BI51" i="4" s="1"/>
  <c r="BG50" i="4"/>
  <c r="BI50" i="4" s="1"/>
  <c r="BG49" i="4"/>
  <c r="BI49" i="4" s="1"/>
  <c r="BG48" i="4"/>
  <c r="BI48" i="4" s="1"/>
  <c r="BG47" i="4"/>
  <c r="BI47" i="4" s="1"/>
  <c r="BG46" i="4"/>
  <c r="BI46" i="4" s="1"/>
  <c r="BG45" i="4"/>
  <c r="BI45" i="4" s="1"/>
  <c r="BG44" i="4"/>
  <c r="BI44" i="4" s="1"/>
  <c r="BG43" i="4"/>
  <c r="BI43" i="4" s="1"/>
  <c r="BG42" i="4"/>
  <c r="BI42" i="4" s="1"/>
  <c r="BG41" i="4"/>
  <c r="BI41" i="4" s="1"/>
  <c r="BG40" i="4"/>
  <c r="BI40" i="4" s="1"/>
  <c r="BG39" i="4"/>
  <c r="BI39" i="4" s="1"/>
  <c r="BG38" i="4"/>
  <c r="BI38" i="4" s="1"/>
  <c r="BG37" i="4"/>
  <c r="BI37" i="4" s="1"/>
  <c r="BG36" i="4"/>
  <c r="BI36" i="4" s="1"/>
  <c r="BG35" i="4"/>
  <c r="BI35" i="4" s="1"/>
  <c r="BG34" i="4"/>
  <c r="BI34" i="4" s="1"/>
  <c r="BG33" i="4"/>
  <c r="BI33" i="4" s="1"/>
  <c r="BG32" i="4"/>
  <c r="BI32" i="4" s="1"/>
  <c r="BG31" i="4"/>
  <c r="BI31" i="4" s="1"/>
  <c r="BG30" i="4"/>
  <c r="BI30" i="4" s="1"/>
  <c r="BG29" i="4"/>
  <c r="BI29" i="4" s="1"/>
  <c r="BG28" i="4"/>
  <c r="BI28" i="4" s="1"/>
  <c r="BG27" i="4"/>
  <c r="BI27" i="4" s="1"/>
  <c r="BG26" i="4"/>
  <c r="BI26" i="4" s="1"/>
  <c r="BG25" i="4"/>
  <c r="BI25" i="4" s="1"/>
  <c r="BG24" i="4"/>
  <c r="BI24" i="4" s="1"/>
  <c r="BG23" i="4"/>
  <c r="BI23" i="4" s="1"/>
  <c r="BG22" i="4"/>
  <c r="BI22" i="4" s="1"/>
  <c r="BG21" i="4"/>
  <c r="BI21" i="4" s="1"/>
  <c r="BG20" i="4"/>
  <c r="BI20" i="4" s="1"/>
  <c r="BG19" i="4"/>
  <c r="BI19" i="4" s="1"/>
  <c r="BG18" i="4"/>
  <c r="BI18" i="4" s="1"/>
  <c r="BG17" i="4"/>
  <c r="BI17" i="4" s="1"/>
  <c r="BG16" i="4"/>
  <c r="BI16" i="4" s="1"/>
  <c r="BG15" i="4"/>
  <c r="BI15" i="4" s="1"/>
  <c r="BG14" i="4"/>
  <c r="BI14" i="4" s="1"/>
  <c r="BG13" i="4"/>
  <c r="BI13" i="4" s="1"/>
  <c r="BG12" i="4"/>
  <c r="BI12" i="4" s="1"/>
  <c r="BG11" i="4"/>
  <c r="BI11" i="4" s="1"/>
  <c r="BG10" i="4"/>
  <c r="BI10" i="4" s="1"/>
  <c r="BG9" i="4"/>
  <c r="BI9" i="4" s="1"/>
  <c r="BG8" i="4"/>
  <c r="BI8" i="4" s="1"/>
  <c r="BG7" i="4"/>
  <c r="BI7" i="4" s="1"/>
  <c r="BG6" i="4"/>
  <c r="BI6" i="4" s="1"/>
  <c r="BG5" i="4"/>
  <c r="BI5" i="4" s="1"/>
  <c r="BD59" i="4"/>
  <c r="BF59" i="4" s="1"/>
  <c r="BD58" i="4"/>
  <c r="BF58" i="4" s="1"/>
  <c r="BD57" i="4"/>
  <c r="BF57" i="4" s="1"/>
  <c r="BD56" i="4"/>
  <c r="BF56" i="4" s="1"/>
  <c r="BD55" i="4"/>
  <c r="BF55" i="4" s="1"/>
  <c r="BD54" i="4"/>
  <c r="BF54" i="4" s="1"/>
  <c r="BD53" i="4"/>
  <c r="BF53" i="4" s="1"/>
  <c r="BD52" i="4"/>
  <c r="BF52" i="4" s="1"/>
  <c r="BD51" i="4"/>
  <c r="BF51" i="4" s="1"/>
  <c r="BD50" i="4"/>
  <c r="BF50" i="4" s="1"/>
  <c r="BD49" i="4"/>
  <c r="BF49" i="4" s="1"/>
  <c r="BD48" i="4"/>
  <c r="BF48" i="4" s="1"/>
  <c r="BD47" i="4"/>
  <c r="BF47" i="4" s="1"/>
  <c r="BD46" i="4"/>
  <c r="BF46" i="4" s="1"/>
  <c r="BD45" i="4"/>
  <c r="BF45" i="4" s="1"/>
  <c r="BD44" i="4"/>
  <c r="BF44" i="4" s="1"/>
  <c r="BD43" i="4"/>
  <c r="BF43" i="4" s="1"/>
  <c r="BD42" i="4"/>
  <c r="BF42" i="4" s="1"/>
  <c r="BD41" i="4"/>
  <c r="BF41" i="4" s="1"/>
  <c r="BD40" i="4"/>
  <c r="BF40" i="4" s="1"/>
  <c r="BD39" i="4"/>
  <c r="BF39" i="4" s="1"/>
  <c r="BD38" i="4"/>
  <c r="BF38" i="4" s="1"/>
  <c r="BD37" i="4"/>
  <c r="BF37" i="4" s="1"/>
  <c r="BD36" i="4"/>
  <c r="BF36" i="4" s="1"/>
  <c r="BD35" i="4"/>
  <c r="BF35" i="4" s="1"/>
  <c r="BD34" i="4"/>
  <c r="BF34" i="4" s="1"/>
  <c r="BD33" i="4"/>
  <c r="BF33" i="4" s="1"/>
  <c r="BD32" i="4"/>
  <c r="BF32" i="4" s="1"/>
  <c r="BD31" i="4"/>
  <c r="BF31" i="4" s="1"/>
  <c r="BD30" i="4"/>
  <c r="BF30" i="4" s="1"/>
  <c r="BD29" i="4"/>
  <c r="BF29" i="4" s="1"/>
  <c r="BD28" i="4"/>
  <c r="BF28" i="4" s="1"/>
  <c r="BD27" i="4"/>
  <c r="BF27" i="4" s="1"/>
  <c r="BD26" i="4"/>
  <c r="BF26" i="4" s="1"/>
  <c r="BD25" i="4"/>
  <c r="BF25" i="4" s="1"/>
  <c r="BD24" i="4"/>
  <c r="BF24" i="4" s="1"/>
  <c r="BD23" i="4"/>
  <c r="BF23" i="4" s="1"/>
  <c r="BD22" i="4"/>
  <c r="BF22" i="4" s="1"/>
  <c r="BD21" i="4"/>
  <c r="BF21" i="4" s="1"/>
  <c r="BD20" i="4"/>
  <c r="BF20" i="4" s="1"/>
  <c r="BD19" i="4"/>
  <c r="BF19" i="4" s="1"/>
  <c r="BD18" i="4"/>
  <c r="BF18" i="4" s="1"/>
  <c r="BD17" i="4"/>
  <c r="BF17" i="4" s="1"/>
  <c r="BD16" i="4"/>
  <c r="BF16" i="4" s="1"/>
  <c r="BD15" i="4"/>
  <c r="BF15" i="4" s="1"/>
  <c r="BD14" i="4"/>
  <c r="BF14" i="4" s="1"/>
  <c r="BD13" i="4"/>
  <c r="BF13" i="4" s="1"/>
  <c r="BD12" i="4"/>
  <c r="BF12" i="4" s="1"/>
  <c r="BD11" i="4"/>
  <c r="BF11" i="4" s="1"/>
  <c r="BD10" i="4"/>
  <c r="BF10" i="4" s="1"/>
  <c r="BD9" i="4"/>
  <c r="BF9" i="4" s="1"/>
  <c r="BD8" i="4"/>
  <c r="BF8" i="4" s="1"/>
  <c r="BD7" i="4"/>
  <c r="BF7" i="4" s="1"/>
  <c r="BD6" i="4"/>
  <c r="BF6" i="4" s="1"/>
  <c r="BD5" i="4"/>
  <c r="BF5" i="4" s="1"/>
  <c r="AY59" i="4"/>
  <c r="AY58" i="4"/>
  <c r="AY57" i="4"/>
  <c r="AY56" i="4"/>
  <c r="AY55" i="4"/>
  <c r="AY54" i="4"/>
  <c r="AY53" i="4"/>
  <c r="AY52" i="4"/>
  <c r="AY51" i="4"/>
  <c r="AY50" i="4"/>
  <c r="AY49" i="4"/>
  <c r="AY48" i="4"/>
  <c r="AY47" i="4"/>
  <c r="AY46" i="4"/>
  <c r="AY45" i="4"/>
  <c r="AY44" i="4"/>
  <c r="AY43" i="4"/>
  <c r="AY42" i="4"/>
  <c r="AY41" i="4"/>
  <c r="AY40" i="4"/>
  <c r="AY39" i="4"/>
  <c r="AY38" i="4"/>
  <c r="AY37" i="4"/>
  <c r="AY36" i="4"/>
  <c r="AY35" i="4"/>
  <c r="AY34" i="4"/>
  <c r="AY33" i="4"/>
  <c r="AY32" i="4"/>
  <c r="AY31" i="4"/>
  <c r="AY30" i="4"/>
  <c r="AY29" i="4"/>
  <c r="AY28" i="4"/>
  <c r="AY27" i="4"/>
  <c r="AY26" i="4"/>
  <c r="AY25" i="4"/>
  <c r="AY24" i="4"/>
  <c r="AY23" i="4"/>
  <c r="AY22" i="4"/>
  <c r="AY21" i="4"/>
  <c r="AY20" i="4"/>
  <c r="AY19" i="4"/>
  <c r="AY18" i="4"/>
  <c r="AY17" i="4"/>
  <c r="AY16" i="4"/>
  <c r="AY15" i="4"/>
  <c r="AY14" i="4"/>
  <c r="AY13" i="4"/>
  <c r="AY12" i="4"/>
  <c r="AY11" i="4"/>
  <c r="AY10" i="4"/>
  <c r="AY9" i="4"/>
  <c r="AY8" i="4"/>
  <c r="AY7" i="4"/>
  <c r="AY6" i="4"/>
  <c r="AY5" i="4"/>
  <c r="AV59" i="4"/>
  <c r="AX59" i="4" s="1"/>
  <c r="AV58" i="4"/>
  <c r="AX58" i="4" s="1"/>
  <c r="AV57" i="4"/>
  <c r="AX57" i="4" s="1"/>
  <c r="AV56" i="4"/>
  <c r="AX56" i="4" s="1"/>
  <c r="AV55" i="4"/>
  <c r="AX55" i="4" s="1"/>
  <c r="AV54" i="4"/>
  <c r="AX54" i="4" s="1"/>
  <c r="AV53" i="4"/>
  <c r="AX53" i="4" s="1"/>
  <c r="AV52" i="4"/>
  <c r="AX52" i="4" s="1"/>
  <c r="AV51" i="4"/>
  <c r="AX51" i="4" s="1"/>
  <c r="AV50" i="4"/>
  <c r="AX50" i="4" s="1"/>
  <c r="AV49" i="4"/>
  <c r="AX49" i="4" s="1"/>
  <c r="AV48" i="4"/>
  <c r="AX48" i="4" s="1"/>
  <c r="AV47" i="4"/>
  <c r="AX47" i="4" s="1"/>
  <c r="AV46" i="4"/>
  <c r="AX46" i="4" s="1"/>
  <c r="AV45" i="4"/>
  <c r="AX45" i="4" s="1"/>
  <c r="AV44" i="4"/>
  <c r="AX44" i="4" s="1"/>
  <c r="AV43" i="4"/>
  <c r="AX43" i="4" s="1"/>
  <c r="AV42" i="4"/>
  <c r="AX42" i="4" s="1"/>
  <c r="AV41" i="4"/>
  <c r="AX41" i="4" s="1"/>
  <c r="AV40" i="4"/>
  <c r="AX40" i="4" s="1"/>
  <c r="AV39" i="4"/>
  <c r="AX39" i="4" s="1"/>
  <c r="AV38" i="4"/>
  <c r="AX38" i="4" s="1"/>
  <c r="AV37" i="4"/>
  <c r="AX37" i="4" s="1"/>
  <c r="AV36" i="4"/>
  <c r="AX36" i="4" s="1"/>
  <c r="AV35" i="4"/>
  <c r="AX35" i="4" s="1"/>
  <c r="AV34" i="4"/>
  <c r="AX34" i="4" s="1"/>
  <c r="AV33" i="4"/>
  <c r="AX33" i="4" s="1"/>
  <c r="AV32" i="4"/>
  <c r="AX32" i="4" s="1"/>
  <c r="AV31" i="4"/>
  <c r="AX31" i="4" s="1"/>
  <c r="AV30" i="4"/>
  <c r="AX30" i="4" s="1"/>
  <c r="AV29" i="4"/>
  <c r="AX29" i="4" s="1"/>
  <c r="AV28" i="4"/>
  <c r="AX28" i="4" s="1"/>
  <c r="AV27" i="4"/>
  <c r="AX27" i="4" s="1"/>
  <c r="AV26" i="4"/>
  <c r="AX26" i="4" s="1"/>
  <c r="AV25" i="4"/>
  <c r="AX25" i="4" s="1"/>
  <c r="AV24" i="4"/>
  <c r="AX24" i="4" s="1"/>
  <c r="AV23" i="4"/>
  <c r="AX23" i="4" s="1"/>
  <c r="AV22" i="4"/>
  <c r="AX22" i="4" s="1"/>
  <c r="AV21" i="4"/>
  <c r="AX21" i="4" s="1"/>
  <c r="AV20" i="4"/>
  <c r="AX20" i="4" s="1"/>
  <c r="AV19" i="4"/>
  <c r="AX19" i="4" s="1"/>
  <c r="AV18" i="4"/>
  <c r="AX18" i="4" s="1"/>
  <c r="AV17" i="4"/>
  <c r="AX17" i="4" s="1"/>
  <c r="AV16" i="4"/>
  <c r="AX16" i="4" s="1"/>
  <c r="AV15" i="4"/>
  <c r="AX15" i="4" s="1"/>
  <c r="AV14" i="4"/>
  <c r="AX14" i="4" s="1"/>
  <c r="AV13" i="4"/>
  <c r="AX13" i="4" s="1"/>
  <c r="AV12" i="4"/>
  <c r="AX12" i="4" s="1"/>
  <c r="AV11" i="4"/>
  <c r="AX11" i="4" s="1"/>
  <c r="AV10" i="4"/>
  <c r="AX10" i="4" s="1"/>
  <c r="AV9" i="4"/>
  <c r="AX9" i="4" s="1"/>
  <c r="AV8" i="4"/>
  <c r="AX8" i="4" s="1"/>
  <c r="AV7" i="4"/>
  <c r="AX7" i="4" s="1"/>
  <c r="AV6" i="4"/>
  <c r="AX6" i="4" s="1"/>
  <c r="AV5" i="4"/>
  <c r="AX5" i="4" s="1"/>
  <c r="AS59" i="4"/>
  <c r="AU59" i="4" s="1"/>
  <c r="AS58" i="4"/>
  <c r="AU58" i="4" s="1"/>
  <c r="AS57" i="4"/>
  <c r="AU57" i="4" s="1"/>
  <c r="AS56" i="4"/>
  <c r="AU56" i="4" s="1"/>
  <c r="AS55" i="4"/>
  <c r="AU55" i="4" s="1"/>
  <c r="AS54" i="4"/>
  <c r="AU54" i="4" s="1"/>
  <c r="AS53" i="4"/>
  <c r="AU53" i="4" s="1"/>
  <c r="AS52" i="4"/>
  <c r="AU52" i="4" s="1"/>
  <c r="AS51" i="4"/>
  <c r="AU51" i="4" s="1"/>
  <c r="AS50" i="4"/>
  <c r="AU50" i="4" s="1"/>
  <c r="AS49" i="4"/>
  <c r="AU49" i="4" s="1"/>
  <c r="AS48" i="4"/>
  <c r="AU48" i="4" s="1"/>
  <c r="AS47" i="4"/>
  <c r="AU47" i="4" s="1"/>
  <c r="AS46" i="4"/>
  <c r="AU46" i="4" s="1"/>
  <c r="AS45" i="4"/>
  <c r="AU45" i="4" s="1"/>
  <c r="AS44" i="4"/>
  <c r="AU44" i="4" s="1"/>
  <c r="AS43" i="4"/>
  <c r="AU43" i="4" s="1"/>
  <c r="AS42" i="4"/>
  <c r="AU42" i="4" s="1"/>
  <c r="AS41" i="4"/>
  <c r="AU41" i="4" s="1"/>
  <c r="AS40" i="4"/>
  <c r="AU40" i="4" s="1"/>
  <c r="AS39" i="4"/>
  <c r="AU39" i="4" s="1"/>
  <c r="AS38" i="4"/>
  <c r="AU38" i="4" s="1"/>
  <c r="AS37" i="4"/>
  <c r="AU37" i="4" s="1"/>
  <c r="AS36" i="4"/>
  <c r="AU36" i="4" s="1"/>
  <c r="AS35" i="4"/>
  <c r="AU35" i="4" s="1"/>
  <c r="AS34" i="4"/>
  <c r="AU34" i="4" s="1"/>
  <c r="AS33" i="4"/>
  <c r="AU33" i="4" s="1"/>
  <c r="AS32" i="4"/>
  <c r="AU32" i="4" s="1"/>
  <c r="AS31" i="4"/>
  <c r="AU31" i="4" s="1"/>
  <c r="AS30" i="4"/>
  <c r="AU30" i="4" s="1"/>
  <c r="AS29" i="4"/>
  <c r="AU29" i="4" s="1"/>
  <c r="AS28" i="4"/>
  <c r="AU28" i="4" s="1"/>
  <c r="AS27" i="4"/>
  <c r="AU27" i="4" s="1"/>
  <c r="AS26" i="4"/>
  <c r="AU26" i="4" s="1"/>
  <c r="AS25" i="4"/>
  <c r="AU25" i="4" s="1"/>
  <c r="AS24" i="4"/>
  <c r="AU24" i="4" s="1"/>
  <c r="AS23" i="4"/>
  <c r="AU23" i="4" s="1"/>
  <c r="AS22" i="4"/>
  <c r="AU22" i="4" s="1"/>
  <c r="AS21" i="4"/>
  <c r="AU21" i="4" s="1"/>
  <c r="AS20" i="4"/>
  <c r="AU20" i="4" s="1"/>
  <c r="AS19" i="4"/>
  <c r="AU19" i="4" s="1"/>
  <c r="AS18" i="4"/>
  <c r="AU18" i="4" s="1"/>
  <c r="AS17" i="4"/>
  <c r="AU17" i="4" s="1"/>
  <c r="AS16" i="4"/>
  <c r="AU16" i="4" s="1"/>
  <c r="AS15" i="4"/>
  <c r="AU15" i="4" s="1"/>
  <c r="AS14" i="4"/>
  <c r="AU14" i="4" s="1"/>
  <c r="AS13" i="4"/>
  <c r="AU13" i="4" s="1"/>
  <c r="AS12" i="4"/>
  <c r="AU12" i="4" s="1"/>
  <c r="AS11" i="4"/>
  <c r="AU11" i="4" s="1"/>
  <c r="AS10" i="4"/>
  <c r="AU10" i="4" s="1"/>
  <c r="AS9" i="4"/>
  <c r="AU9" i="4" s="1"/>
  <c r="AS8" i="4"/>
  <c r="AU8" i="4" s="1"/>
  <c r="AS7" i="4"/>
  <c r="AU7" i="4" s="1"/>
  <c r="AS6" i="4"/>
  <c r="AU6" i="4" s="1"/>
  <c r="AS5" i="4"/>
  <c r="AU5" i="4" s="1"/>
  <c r="AP59" i="4"/>
  <c r="AR59" i="4" s="1"/>
  <c r="AP58" i="4"/>
  <c r="AR58" i="4" s="1"/>
  <c r="AP57" i="4"/>
  <c r="AR57" i="4" s="1"/>
  <c r="AP56" i="4"/>
  <c r="AR56" i="4" s="1"/>
  <c r="AP55" i="4"/>
  <c r="AR55" i="4" s="1"/>
  <c r="AP54" i="4"/>
  <c r="AR54" i="4" s="1"/>
  <c r="AP53" i="4"/>
  <c r="AR53" i="4" s="1"/>
  <c r="AP52" i="4"/>
  <c r="AR52" i="4" s="1"/>
  <c r="AP51" i="4"/>
  <c r="AR51" i="4" s="1"/>
  <c r="AP50" i="4"/>
  <c r="AR50" i="4" s="1"/>
  <c r="AP49" i="4"/>
  <c r="AR49" i="4" s="1"/>
  <c r="AP48" i="4"/>
  <c r="AR48" i="4" s="1"/>
  <c r="AP47" i="4"/>
  <c r="AR47" i="4" s="1"/>
  <c r="AP46" i="4"/>
  <c r="AR46" i="4" s="1"/>
  <c r="AP45" i="4"/>
  <c r="AR45" i="4" s="1"/>
  <c r="AP44" i="4"/>
  <c r="AR44" i="4" s="1"/>
  <c r="AP43" i="4"/>
  <c r="AR43" i="4" s="1"/>
  <c r="AP42" i="4"/>
  <c r="AR42" i="4" s="1"/>
  <c r="AP41" i="4"/>
  <c r="AR41" i="4" s="1"/>
  <c r="AP40" i="4"/>
  <c r="AR40" i="4" s="1"/>
  <c r="AP39" i="4"/>
  <c r="AR39" i="4" s="1"/>
  <c r="AP38" i="4"/>
  <c r="AR38" i="4" s="1"/>
  <c r="AP37" i="4"/>
  <c r="AR37" i="4" s="1"/>
  <c r="AP36" i="4"/>
  <c r="AR36" i="4" s="1"/>
  <c r="AP35" i="4"/>
  <c r="AR35" i="4" s="1"/>
  <c r="AP34" i="4"/>
  <c r="AR34" i="4" s="1"/>
  <c r="AP33" i="4"/>
  <c r="AR33" i="4" s="1"/>
  <c r="AP32" i="4"/>
  <c r="AR32" i="4" s="1"/>
  <c r="AP31" i="4"/>
  <c r="AR31" i="4" s="1"/>
  <c r="AP30" i="4"/>
  <c r="AR30" i="4" s="1"/>
  <c r="AP29" i="4"/>
  <c r="AR29" i="4" s="1"/>
  <c r="AP28" i="4"/>
  <c r="AR28" i="4" s="1"/>
  <c r="AP27" i="4"/>
  <c r="AR27" i="4" s="1"/>
  <c r="AP26" i="4"/>
  <c r="AR26" i="4" s="1"/>
  <c r="AP25" i="4"/>
  <c r="AR25" i="4" s="1"/>
  <c r="AP24" i="4"/>
  <c r="AR24" i="4" s="1"/>
  <c r="AP23" i="4"/>
  <c r="AR23" i="4" s="1"/>
  <c r="AP22" i="4"/>
  <c r="AR22" i="4" s="1"/>
  <c r="AP21" i="4"/>
  <c r="AR21" i="4" s="1"/>
  <c r="AP20" i="4"/>
  <c r="AR20" i="4" s="1"/>
  <c r="AP19" i="4"/>
  <c r="AR19" i="4" s="1"/>
  <c r="AP18" i="4"/>
  <c r="AR18" i="4" s="1"/>
  <c r="AP17" i="4"/>
  <c r="AR17" i="4" s="1"/>
  <c r="AP16" i="4"/>
  <c r="AR16" i="4" s="1"/>
  <c r="AP15" i="4"/>
  <c r="AR15" i="4" s="1"/>
  <c r="AP14" i="4"/>
  <c r="AR14" i="4" s="1"/>
  <c r="AP13" i="4"/>
  <c r="AR13" i="4" s="1"/>
  <c r="AP12" i="4"/>
  <c r="AR12" i="4" s="1"/>
  <c r="AP11" i="4"/>
  <c r="AR11" i="4" s="1"/>
  <c r="AP10" i="4"/>
  <c r="AR10" i="4" s="1"/>
  <c r="AP9" i="4"/>
  <c r="AR9" i="4" s="1"/>
  <c r="AP8" i="4"/>
  <c r="AR8" i="4" s="1"/>
  <c r="AP7" i="4"/>
  <c r="AR7" i="4" s="1"/>
  <c r="AP6" i="4"/>
  <c r="AR6" i="4" s="1"/>
  <c r="AP5" i="4"/>
  <c r="AR5" i="4" s="1"/>
  <c r="AM59" i="4"/>
  <c r="AO59" i="4" s="1"/>
  <c r="AM58" i="4"/>
  <c r="AO58" i="4" s="1"/>
  <c r="AM57" i="4"/>
  <c r="AO57" i="4" s="1"/>
  <c r="AM56" i="4"/>
  <c r="AO56" i="4" s="1"/>
  <c r="AM55" i="4"/>
  <c r="AO55" i="4" s="1"/>
  <c r="AM54" i="4"/>
  <c r="AO54" i="4" s="1"/>
  <c r="AM53" i="4"/>
  <c r="AO53" i="4" s="1"/>
  <c r="AM52" i="4"/>
  <c r="AO52" i="4" s="1"/>
  <c r="AM51" i="4"/>
  <c r="AO51" i="4" s="1"/>
  <c r="AM50" i="4"/>
  <c r="AO50" i="4" s="1"/>
  <c r="AM49" i="4"/>
  <c r="AO49" i="4" s="1"/>
  <c r="AM48" i="4"/>
  <c r="AO48" i="4" s="1"/>
  <c r="AM47" i="4"/>
  <c r="AO47" i="4" s="1"/>
  <c r="AM46" i="4"/>
  <c r="AO46" i="4" s="1"/>
  <c r="AM45" i="4"/>
  <c r="AO45" i="4" s="1"/>
  <c r="AM44" i="4"/>
  <c r="AO44" i="4" s="1"/>
  <c r="AM43" i="4"/>
  <c r="AO43" i="4" s="1"/>
  <c r="AM42" i="4"/>
  <c r="AO42" i="4" s="1"/>
  <c r="AM41" i="4"/>
  <c r="AO41" i="4" s="1"/>
  <c r="AM40" i="4"/>
  <c r="AO40" i="4" s="1"/>
  <c r="AM39" i="4"/>
  <c r="AO39" i="4" s="1"/>
  <c r="AM38" i="4"/>
  <c r="AO38" i="4" s="1"/>
  <c r="AM37" i="4"/>
  <c r="AO37" i="4" s="1"/>
  <c r="AM36" i="4"/>
  <c r="AO36" i="4" s="1"/>
  <c r="AM35" i="4"/>
  <c r="AO35" i="4" s="1"/>
  <c r="AM34" i="4"/>
  <c r="AO34" i="4" s="1"/>
  <c r="AM33" i="4"/>
  <c r="AO33" i="4" s="1"/>
  <c r="AM32" i="4"/>
  <c r="AO32" i="4" s="1"/>
  <c r="AM31" i="4"/>
  <c r="AO31" i="4" s="1"/>
  <c r="AM30" i="4"/>
  <c r="AO30" i="4" s="1"/>
  <c r="AM29" i="4"/>
  <c r="AO29" i="4" s="1"/>
  <c r="AM28" i="4"/>
  <c r="AO28" i="4" s="1"/>
  <c r="AM27" i="4"/>
  <c r="AO27" i="4" s="1"/>
  <c r="AM26" i="4"/>
  <c r="AO26" i="4" s="1"/>
  <c r="AM25" i="4"/>
  <c r="AO25" i="4" s="1"/>
  <c r="AM24" i="4"/>
  <c r="AO24" i="4" s="1"/>
  <c r="AM23" i="4"/>
  <c r="AO23" i="4" s="1"/>
  <c r="AM22" i="4"/>
  <c r="AO22" i="4" s="1"/>
  <c r="AM21" i="4"/>
  <c r="AO21" i="4" s="1"/>
  <c r="AM20" i="4"/>
  <c r="AO20" i="4" s="1"/>
  <c r="AM19" i="4"/>
  <c r="AO19" i="4" s="1"/>
  <c r="AM18" i="4"/>
  <c r="AO18" i="4" s="1"/>
  <c r="AM17" i="4"/>
  <c r="AO17" i="4" s="1"/>
  <c r="AM16" i="4"/>
  <c r="AO16" i="4" s="1"/>
  <c r="AM15" i="4"/>
  <c r="AO15" i="4" s="1"/>
  <c r="AM14" i="4"/>
  <c r="AO14" i="4" s="1"/>
  <c r="AM13" i="4"/>
  <c r="AO13" i="4" s="1"/>
  <c r="AM12" i="4"/>
  <c r="AO12" i="4" s="1"/>
  <c r="AM11" i="4"/>
  <c r="AO11" i="4" s="1"/>
  <c r="AM10" i="4"/>
  <c r="AO10" i="4" s="1"/>
  <c r="AM9" i="4"/>
  <c r="AO9" i="4" s="1"/>
  <c r="AM8" i="4"/>
  <c r="AO8" i="4" s="1"/>
  <c r="AM7" i="4"/>
  <c r="AO7" i="4" s="1"/>
  <c r="AM6" i="4"/>
  <c r="AO6" i="4" s="1"/>
  <c r="AM5" i="4"/>
  <c r="AO5" i="4" s="1"/>
  <c r="AJ59" i="4"/>
  <c r="AL59" i="4" s="1"/>
  <c r="AJ58" i="4"/>
  <c r="AL58" i="4" s="1"/>
  <c r="AJ57" i="4"/>
  <c r="AL57" i="4" s="1"/>
  <c r="AJ56" i="4"/>
  <c r="AL56" i="4" s="1"/>
  <c r="AJ55" i="4"/>
  <c r="AL55" i="4" s="1"/>
  <c r="AJ54" i="4"/>
  <c r="AL54" i="4" s="1"/>
  <c r="AJ53" i="4"/>
  <c r="AL53" i="4" s="1"/>
  <c r="AJ52" i="4"/>
  <c r="AL52" i="4" s="1"/>
  <c r="AJ51" i="4"/>
  <c r="AL51" i="4" s="1"/>
  <c r="AJ50" i="4"/>
  <c r="AL50" i="4" s="1"/>
  <c r="AJ49" i="4"/>
  <c r="AL49" i="4" s="1"/>
  <c r="AJ48" i="4"/>
  <c r="AL48" i="4" s="1"/>
  <c r="AJ47" i="4"/>
  <c r="AL47" i="4" s="1"/>
  <c r="AJ46" i="4"/>
  <c r="AL46" i="4" s="1"/>
  <c r="AJ45" i="4"/>
  <c r="AL45" i="4" s="1"/>
  <c r="AJ44" i="4"/>
  <c r="AL44" i="4" s="1"/>
  <c r="AJ43" i="4"/>
  <c r="AL43" i="4" s="1"/>
  <c r="AJ42" i="4"/>
  <c r="AL42" i="4" s="1"/>
  <c r="AJ41" i="4"/>
  <c r="AL41" i="4" s="1"/>
  <c r="AJ40" i="4"/>
  <c r="AL40" i="4" s="1"/>
  <c r="AJ39" i="4"/>
  <c r="AL39" i="4" s="1"/>
  <c r="AJ38" i="4"/>
  <c r="AL38" i="4" s="1"/>
  <c r="AJ37" i="4"/>
  <c r="AL37" i="4" s="1"/>
  <c r="AJ36" i="4"/>
  <c r="AL36" i="4" s="1"/>
  <c r="AJ35" i="4"/>
  <c r="AL35" i="4" s="1"/>
  <c r="AJ34" i="4"/>
  <c r="AL34" i="4" s="1"/>
  <c r="AJ33" i="4"/>
  <c r="AL33" i="4" s="1"/>
  <c r="AJ32" i="4"/>
  <c r="AL32" i="4" s="1"/>
  <c r="AJ31" i="4"/>
  <c r="AL31" i="4" s="1"/>
  <c r="AJ30" i="4"/>
  <c r="AL30" i="4" s="1"/>
  <c r="AJ29" i="4"/>
  <c r="AL29" i="4" s="1"/>
  <c r="AJ28" i="4"/>
  <c r="AL28" i="4" s="1"/>
  <c r="AJ27" i="4"/>
  <c r="AL27" i="4" s="1"/>
  <c r="AJ26" i="4"/>
  <c r="AL26" i="4" s="1"/>
  <c r="AJ25" i="4"/>
  <c r="AL25" i="4" s="1"/>
  <c r="AJ24" i="4"/>
  <c r="AL24" i="4" s="1"/>
  <c r="AJ23" i="4"/>
  <c r="AL23" i="4" s="1"/>
  <c r="AJ22" i="4"/>
  <c r="AL22" i="4" s="1"/>
  <c r="AJ21" i="4"/>
  <c r="AL21" i="4" s="1"/>
  <c r="AJ20" i="4"/>
  <c r="AL20" i="4" s="1"/>
  <c r="AJ19" i="4"/>
  <c r="AL19" i="4" s="1"/>
  <c r="AJ18" i="4"/>
  <c r="AL18" i="4" s="1"/>
  <c r="AJ17" i="4"/>
  <c r="AL17" i="4" s="1"/>
  <c r="AJ16" i="4"/>
  <c r="AL16" i="4" s="1"/>
  <c r="AJ15" i="4"/>
  <c r="AL15" i="4" s="1"/>
  <c r="AJ14" i="4"/>
  <c r="AL14" i="4" s="1"/>
  <c r="AJ13" i="4"/>
  <c r="AL13" i="4" s="1"/>
  <c r="AJ12" i="4"/>
  <c r="AL12" i="4" s="1"/>
  <c r="AJ11" i="4"/>
  <c r="AL11" i="4" s="1"/>
  <c r="AJ10" i="4"/>
  <c r="AL10" i="4" s="1"/>
  <c r="AJ9" i="4"/>
  <c r="AL9" i="4" s="1"/>
  <c r="AJ8" i="4"/>
  <c r="AL8" i="4" s="1"/>
  <c r="AJ7" i="4"/>
  <c r="AL7" i="4" s="1"/>
  <c r="AJ6" i="4"/>
  <c r="AL6" i="4" s="1"/>
  <c r="AJ5" i="4"/>
  <c r="AL5" i="4" s="1"/>
  <c r="AG59" i="4"/>
  <c r="AI59" i="4" s="1"/>
  <c r="AG58" i="4"/>
  <c r="AI58" i="4" s="1"/>
  <c r="AG57" i="4"/>
  <c r="AI57" i="4" s="1"/>
  <c r="AG56" i="4"/>
  <c r="AI56" i="4" s="1"/>
  <c r="AG55" i="4"/>
  <c r="AI55" i="4" s="1"/>
  <c r="AG54" i="4"/>
  <c r="AI54" i="4" s="1"/>
  <c r="AG53" i="4"/>
  <c r="AI53" i="4" s="1"/>
  <c r="AG52" i="4"/>
  <c r="AI52" i="4" s="1"/>
  <c r="AG51" i="4"/>
  <c r="AI51" i="4" s="1"/>
  <c r="AG50" i="4"/>
  <c r="AI50" i="4" s="1"/>
  <c r="AG49" i="4"/>
  <c r="AI49" i="4" s="1"/>
  <c r="AG48" i="4"/>
  <c r="AI48" i="4" s="1"/>
  <c r="AG47" i="4"/>
  <c r="AI47" i="4" s="1"/>
  <c r="AG46" i="4"/>
  <c r="AI46" i="4" s="1"/>
  <c r="AG45" i="4"/>
  <c r="AI45" i="4" s="1"/>
  <c r="AG44" i="4"/>
  <c r="AI44" i="4" s="1"/>
  <c r="AG43" i="4"/>
  <c r="AI43" i="4" s="1"/>
  <c r="AG42" i="4"/>
  <c r="AI42" i="4" s="1"/>
  <c r="AG41" i="4"/>
  <c r="AI41" i="4" s="1"/>
  <c r="AG40" i="4"/>
  <c r="AI40" i="4" s="1"/>
  <c r="AG39" i="4"/>
  <c r="AI39" i="4" s="1"/>
  <c r="AG38" i="4"/>
  <c r="AI38" i="4" s="1"/>
  <c r="AG37" i="4"/>
  <c r="AI37" i="4" s="1"/>
  <c r="AG36" i="4"/>
  <c r="AI36" i="4" s="1"/>
  <c r="AG35" i="4"/>
  <c r="AI35" i="4" s="1"/>
  <c r="AG34" i="4"/>
  <c r="AI34" i="4" s="1"/>
  <c r="AG33" i="4"/>
  <c r="AI33" i="4" s="1"/>
  <c r="AG32" i="4"/>
  <c r="AI32" i="4" s="1"/>
  <c r="AG31" i="4"/>
  <c r="AI31" i="4" s="1"/>
  <c r="AG30" i="4"/>
  <c r="AI30" i="4" s="1"/>
  <c r="AG29" i="4"/>
  <c r="AI29" i="4" s="1"/>
  <c r="AG28" i="4"/>
  <c r="AI28" i="4" s="1"/>
  <c r="AG27" i="4"/>
  <c r="AI27" i="4" s="1"/>
  <c r="AG26" i="4"/>
  <c r="AI26" i="4" s="1"/>
  <c r="AG25" i="4"/>
  <c r="AI25" i="4" s="1"/>
  <c r="AG24" i="4"/>
  <c r="AI24" i="4" s="1"/>
  <c r="AG23" i="4"/>
  <c r="AI23" i="4" s="1"/>
  <c r="AG22" i="4"/>
  <c r="AI22" i="4" s="1"/>
  <c r="AG21" i="4"/>
  <c r="AI21" i="4" s="1"/>
  <c r="AG20" i="4"/>
  <c r="AI20" i="4" s="1"/>
  <c r="AG19" i="4"/>
  <c r="AI19" i="4" s="1"/>
  <c r="AG18" i="4"/>
  <c r="AI18" i="4" s="1"/>
  <c r="AG17" i="4"/>
  <c r="AI17" i="4" s="1"/>
  <c r="AG16" i="4"/>
  <c r="AI16" i="4" s="1"/>
  <c r="AG15" i="4"/>
  <c r="AI15" i="4" s="1"/>
  <c r="AG14" i="4"/>
  <c r="AI14" i="4" s="1"/>
  <c r="AG13" i="4"/>
  <c r="AI13" i="4" s="1"/>
  <c r="AG12" i="4"/>
  <c r="AI12" i="4" s="1"/>
  <c r="AG11" i="4"/>
  <c r="AI11" i="4" s="1"/>
  <c r="AG10" i="4"/>
  <c r="AI10" i="4" s="1"/>
  <c r="AG9" i="4"/>
  <c r="AI9" i="4" s="1"/>
  <c r="AG8" i="4"/>
  <c r="AI8" i="4" s="1"/>
  <c r="AG7" i="4"/>
  <c r="AI7" i="4" s="1"/>
  <c r="AG6" i="4"/>
  <c r="AI6" i="4" s="1"/>
  <c r="AG5" i="4"/>
  <c r="AI5" i="4" s="1"/>
  <c r="AD59" i="4"/>
  <c r="AF59" i="4" s="1"/>
  <c r="AD58" i="4"/>
  <c r="AF58" i="4" s="1"/>
  <c r="AD57" i="4"/>
  <c r="AF57" i="4" s="1"/>
  <c r="AD56" i="4"/>
  <c r="AF56" i="4" s="1"/>
  <c r="AD55" i="4"/>
  <c r="AF55" i="4" s="1"/>
  <c r="AD54" i="4"/>
  <c r="AF54" i="4" s="1"/>
  <c r="AD53" i="4"/>
  <c r="AF53" i="4" s="1"/>
  <c r="AD52" i="4"/>
  <c r="AF52" i="4" s="1"/>
  <c r="AD51" i="4"/>
  <c r="AF51" i="4" s="1"/>
  <c r="AD50" i="4"/>
  <c r="AF50" i="4" s="1"/>
  <c r="AD49" i="4"/>
  <c r="AF49" i="4" s="1"/>
  <c r="AD48" i="4"/>
  <c r="AF48" i="4" s="1"/>
  <c r="AD47" i="4"/>
  <c r="AF47" i="4" s="1"/>
  <c r="AD46" i="4"/>
  <c r="AF46" i="4" s="1"/>
  <c r="AD45" i="4"/>
  <c r="AF45" i="4" s="1"/>
  <c r="AD44" i="4"/>
  <c r="AF44" i="4" s="1"/>
  <c r="AD43" i="4"/>
  <c r="AF43" i="4" s="1"/>
  <c r="AD42" i="4"/>
  <c r="AF42" i="4" s="1"/>
  <c r="AD41" i="4"/>
  <c r="AF41" i="4" s="1"/>
  <c r="AD40" i="4"/>
  <c r="AF40" i="4" s="1"/>
  <c r="AD39" i="4"/>
  <c r="AF39" i="4" s="1"/>
  <c r="AD38" i="4"/>
  <c r="AF38" i="4" s="1"/>
  <c r="AD37" i="4"/>
  <c r="AF37" i="4" s="1"/>
  <c r="AD36" i="4"/>
  <c r="AF36" i="4" s="1"/>
  <c r="AD35" i="4"/>
  <c r="AF35" i="4" s="1"/>
  <c r="AD34" i="4"/>
  <c r="AF34" i="4" s="1"/>
  <c r="AD33" i="4"/>
  <c r="AF33" i="4" s="1"/>
  <c r="AD32" i="4"/>
  <c r="AF32" i="4" s="1"/>
  <c r="AD31" i="4"/>
  <c r="AF31" i="4" s="1"/>
  <c r="AD30" i="4"/>
  <c r="AF30" i="4" s="1"/>
  <c r="AD29" i="4"/>
  <c r="AF29" i="4" s="1"/>
  <c r="AD28" i="4"/>
  <c r="AF28" i="4" s="1"/>
  <c r="AD27" i="4"/>
  <c r="AF27" i="4" s="1"/>
  <c r="AD26" i="4"/>
  <c r="AF26" i="4" s="1"/>
  <c r="AD25" i="4"/>
  <c r="AF25" i="4" s="1"/>
  <c r="AD24" i="4"/>
  <c r="AF24" i="4" s="1"/>
  <c r="AD23" i="4"/>
  <c r="AF23" i="4" s="1"/>
  <c r="AD22" i="4"/>
  <c r="AF22" i="4" s="1"/>
  <c r="AD21" i="4"/>
  <c r="AF21" i="4" s="1"/>
  <c r="AD20" i="4"/>
  <c r="AF20" i="4" s="1"/>
  <c r="AD19" i="4"/>
  <c r="AF19" i="4" s="1"/>
  <c r="AD18" i="4"/>
  <c r="AF18" i="4" s="1"/>
  <c r="AD17" i="4"/>
  <c r="AF17" i="4" s="1"/>
  <c r="AD16" i="4"/>
  <c r="AF16" i="4" s="1"/>
  <c r="AD15" i="4"/>
  <c r="AF15" i="4" s="1"/>
  <c r="AD14" i="4"/>
  <c r="AF14" i="4" s="1"/>
  <c r="AD13" i="4"/>
  <c r="AF13" i="4" s="1"/>
  <c r="AD12" i="4"/>
  <c r="AF12" i="4" s="1"/>
  <c r="AD11" i="4"/>
  <c r="AF11" i="4" s="1"/>
  <c r="AD10" i="4"/>
  <c r="AF10" i="4" s="1"/>
  <c r="AD9" i="4"/>
  <c r="AF9" i="4" s="1"/>
  <c r="AD8" i="4"/>
  <c r="AF8" i="4" s="1"/>
  <c r="AD7" i="4"/>
  <c r="AF7" i="4" s="1"/>
  <c r="AD6" i="4"/>
  <c r="AF6" i="4" s="1"/>
  <c r="AD5" i="4"/>
  <c r="AF5" i="4" s="1"/>
  <c r="AA59" i="4"/>
  <c r="AC59" i="4" s="1"/>
  <c r="AA58" i="4"/>
  <c r="AC58" i="4" s="1"/>
  <c r="AA57" i="4"/>
  <c r="AC57" i="4" s="1"/>
  <c r="AA56" i="4"/>
  <c r="AC56" i="4" s="1"/>
  <c r="AA55" i="4"/>
  <c r="AC55" i="4" s="1"/>
  <c r="AA54" i="4"/>
  <c r="AC54" i="4" s="1"/>
  <c r="AA53" i="4"/>
  <c r="AC53" i="4" s="1"/>
  <c r="AA52" i="4"/>
  <c r="AC52" i="4" s="1"/>
  <c r="AA51" i="4"/>
  <c r="AC51" i="4" s="1"/>
  <c r="AA50" i="4"/>
  <c r="AC50" i="4" s="1"/>
  <c r="AA49" i="4"/>
  <c r="AC49" i="4" s="1"/>
  <c r="AA48" i="4"/>
  <c r="AC48" i="4" s="1"/>
  <c r="AA47" i="4"/>
  <c r="AC47" i="4" s="1"/>
  <c r="AA46" i="4"/>
  <c r="AC46" i="4" s="1"/>
  <c r="AA45" i="4"/>
  <c r="AC45" i="4" s="1"/>
  <c r="AA44" i="4"/>
  <c r="AC44" i="4" s="1"/>
  <c r="AA43" i="4"/>
  <c r="AC43" i="4" s="1"/>
  <c r="AA42" i="4"/>
  <c r="AC42" i="4" s="1"/>
  <c r="AA41" i="4"/>
  <c r="AC41" i="4" s="1"/>
  <c r="AA40" i="4"/>
  <c r="AC40" i="4" s="1"/>
  <c r="AA39" i="4"/>
  <c r="AC39" i="4" s="1"/>
  <c r="AA38" i="4"/>
  <c r="AC38" i="4" s="1"/>
  <c r="AA37" i="4"/>
  <c r="AC37" i="4" s="1"/>
  <c r="AA36" i="4"/>
  <c r="AC36" i="4" s="1"/>
  <c r="AA35" i="4"/>
  <c r="AC35" i="4" s="1"/>
  <c r="AA34" i="4"/>
  <c r="AC34" i="4" s="1"/>
  <c r="AA33" i="4"/>
  <c r="AC33" i="4" s="1"/>
  <c r="AA32" i="4"/>
  <c r="AC32" i="4" s="1"/>
  <c r="AA31" i="4"/>
  <c r="AC31" i="4" s="1"/>
  <c r="AA30" i="4"/>
  <c r="AC30" i="4" s="1"/>
  <c r="AA29" i="4"/>
  <c r="AC29" i="4" s="1"/>
  <c r="AA28" i="4"/>
  <c r="AC28" i="4" s="1"/>
  <c r="AA27" i="4"/>
  <c r="AC27" i="4" s="1"/>
  <c r="AA26" i="4"/>
  <c r="AC26" i="4" s="1"/>
  <c r="AA25" i="4"/>
  <c r="AC25" i="4" s="1"/>
  <c r="AA24" i="4"/>
  <c r="AC24" i="4" s="1"/>
  <c r="AA23" i="4"/>
  <c r="AC23" i="4" s="1"/>
  <c r="AA22" i="4"/>
  <c r="AC22" i="4" s="1"/>
  <c r="AA21" i="4"/>
  <c r="AC21" i="4" s="1"/>
  <c r="AA20" i="4"/>
  <c r="AC20" i="4" s="1"/>
  <c r="AA19" i="4"/>
  <c r="AC19" i="4" s="1"/>
  <c r="AA18" i="4"/>
  <c r="AC18" i="4" s="1"/>
  <c r="AA17" i="4"/>
  <c r="AC17" i="4" s="1"/>
  <c r="AA16" i="4"/>
  <c r="AC16" i="4" s="1"/>
  <c r="AA15" i="4"/>
  <c r="AC15" i="4" s="1"/>
  <c r="AA14" i="4"/>
  <c r="AC14" i="4" s="1"/>
  <c r="AA13" i="4"/>
  <c r="AC13" i="4" s="1"/>
  <c r="AA12" i="4"/>
  <c r="AC12" i="4" s="1"/>
  <c r="AA11" i="4"/>
  <c r="AC11" i="4" s="1"/>
  <c r="AA10" i="4"/>
  <c r="AC10" i="4" s="1"/>
  <c r="AA9" i="4"/>
  <c r="AC9" i="4" s="1"/>
  <c r="AA8" i="4"/>
  <c r="AC8" i="4" s="1"/>
  <c r="AA7" i="4"/>
  <c r="AC7" i="4" s="1"/>
  <c r="AA6" i="4"/>
  <c r="AC6" i="4" s="1"/>
  <c r="AA5" i="4"/>
  <c r="AC5" i="4" s="1"/>
  <c r="X59" i="4"/>
  <c r="Z59" i="4" s="1"/>
  <c r="X58" i="4"/>
  <c r="Z58" i="4" s="1"/>
  <c r="X57" i="4"/>
  <c r="Z57" i="4" s="1"/>
  <c r="X56" i="4"/>
  <c r="Z56" i="4" s="1"/>
  <c r="X55" i="4"/>
  <c r="Z55" i="4" s="1"/>
  <c r="X54" i="4"/>
  <c r="Z54" i="4" s="1"/>
  <c r="X53" i="4"/>
  <c r="Z53" i="4" s="1"/>
  <c r="X52" i="4"/>
  <c r="Z52" i="4" s="1"/>
  <c r="X51" i="4"/>
  <c r="Z51" i="4" s="1"/>
  <c r="X50" i="4"/>
  <c r="Z50" i="4" s="1"/>
  <c r="X49" i="4"/>
  <c r="Z49" i="4" s="1"/>
  <c r="X48" i="4"/>
  <c r="Z48" i="4" s="1"/>
  <c r="X47" i="4"/>
  <c r="Z47" i="4" s="1"/>
  <c r="X46" i="4"/>
  <c r="Z46" i="4" s="1"/>
  <c r="X45" i="4"/>
  <c r="Z45" i="4" s="1"/>
  <c r="X44" i="4"/>
  <c r="Z44" i="4" s="1"/>
  <c r="X43" i="4"/>
  <c r="Z43" i="4" s="1"/>
  <c r="X42" i="4"/>
  <c r="Z42" i="4" s="1"/>
  <c r="X41" i="4"/>
  <c r="Z41" i="4" s="1"/>
  <c r="X40" i="4"/>
  <c r="Z40" i="4" s="1"/>
  <c r="X39" i="4"/>
  <c r="Z39" i="4" s="1"/>
  <c r="X38" i="4"/>
  <c r="Z38" i="4" s="1"/>
  <c r="X37" i="4"/>
  <c r="Z37" i="4" s="1"/>
  <c r="X36" i="4"/>
  <c r="Z36" i="4" s="1"/>
  <c r="X35" i="4"/>
  <c r="Z35" i="4" s="1"/>
  <c r="X34" i="4"/>
  <c r="Z34" i="4" s="1"/>
  <c r="X33" i="4"/>
  <c r="Z33" i="4" s="1"/>
  <c r="X32" i="4"/>
  <c r="Z32" i="4" s="1"/>
  <c r="X31" i="4"/>
  <c r="Z31" i="4" s="1"/>
  <c r="X30" i="4"/>
  <c r="Z30" i="4" s="1"/>
  <c r="X29" i="4"/>
  <c r="Z29" i="4" s="1"/>
  <c r="X28" i="4"/>
  <c r="Z28" i="4" s="1"/>
  <c r="X27" i="4"/>
  <c r="Z27" i="4" s="1"/>
  <c r="X26" i="4"/>
  <c r="Z26" i="4" s="1"/>
  <c r="X25" i="4"/>
  <c r="Z25" i="4" s="1"/>
  <c r="X24" i="4"/>
  <c r="Z24" i="4" s="1"/>
  <c r="X23" i="4"/>
  <c r="Z23" i="4" s="1"/>
  <c r="X22" i="4"/>
  <c r="Z22" i="4" s="1"/>
  <c r="X21" i="4"/>
  <c r="Z21" i="4" s="1"/>
  <c r="X20" i="4"/>
  <c r="Z20" i="4" s="1"/>
  <c r="X19" i="4"/>
  <c r="Z19" i="4" s="1"/>
  <c r="X18" i="4"/>
  <c r="Z18" i="4" s="1"/>
  <c r="X17" i="4"/>
  <c r="Z17" i="4" s="1"/>
  <c r="X16" i="4"/>
  <c r="Z16" i="4" s="1"/>
  <c r="X15" i="4"/>
  <c r="Z15" i="4" s="1"/>
  <c r="X14" i="4"/>
  <c r="Z14" i="4" s="1"/>
  <c r="X13" i="4"/>
  <c r="Z13" i="4" s="1"/>
  <c r="X12" i="4"/>
  <c r="Z12" i="4" s="1"/>
  <c r="X11" i="4"/>
  <c r="Z11" i="4" s="1"/>
  <c r="X10" i="4"/>
  <c r="Z10" i="4" s="1"/>
  <c r="X9" i="4"/>
  <c r="Z9" i="4" s="1"/>
  <c r="X8" i="4"/>
  <c r="Z8" i="4" s="1"/>
  <c r="X7" i="4"/>
  <c r="Z7" i="4" s="1"/>
  <c r="X6" i="4"/>
  <c r="Z6" i="4" s="1"/>
  <c r="X5" i="4"/>
  <c r="Z5" i="4" s="1"/>
  <c r="U59" i="4"/>
  <c r="W59" i="4" s="1"/>
  <c r="U58" i="4"/>
  <c r="W58" i="4" s="1"/>
  <c r="U57" i="4"/>
  <c r="W57" i="4" s="1"/>
  <c r="U56" i="4"/>
  <c r="W56" i="4" s="1"/>
  <c r="U55" i="4"/>
  <c r="W55" i="4" s="1"/>
  <c r="U54" i="4"/>
  <c r="W54" i="4" s="1"/>
  <c r="U53" i="4"/>
  <c r="W53" i="4" s="1"/>
  <c r="U52" i="4"/>
  <c r="W52" i="4" s="1"/>
  <c r="U51" i="4"/>
  <c r="W51" i="4" s="1"/>
  <c r="U50" i="4"/>
  <c r="W50" i="4" s="1"/>
  <c r="U49" i="4"/>
  <c r="W49" i="4" s="1"/>
  <c r="U48" i="4"/>
  <c r="W48" i="4" s="1"/>
  <c r="U47" i="4"/>
  <c r="W47" i="4" s="1"/>
  <c r="U46" i="4"/>
  <c r="W46" i="4" s="1"/>
  <c r="U45" i="4"/>
  <c r="W45" i="4" s="1"/>
  <c r="U44" i="4"/>
  <c r="W44" i="4" s="1"/>
  <c r="U43" i="4"/>
  <c r="W43" i="4" s="1"/>
  <c r="U42" i="4"/>
  <c r="W42" i="4" s="1"/>
  <c r="U41" i="4"/>
  <c r="W41" i="4" s="1"/>
  <c r="U40" i="4"/>
  <c r="W40" i="4" s="1"/>
  <c r="U39" i="4"/>
  <c r="W39" i="4" s="1"/>
  <c r="U38" i="4"/>
  <c r="W38" i="4" s="1"/>
  <c r="U37" i="4"/>
  <c r="W37" i="4" s="1"/>
  <c r="U36" i="4"/>
  <c r="W36" i="4" s="1"/>
  <c r="U35" i="4"/>
  <c r="W35" i="4" s="1"/>
  <c r="U34" i="4"/>
  <c r="W34" i="4" s="1"/>
  <c r="U33" i="4"/>
  <c r="W33" i="4" s="1"/>
  <c r="U32" i="4"/>
  <c r="W32" i="4" s="1"/>
  <c r="U31" i="4"/>
  <c r="W31" i="4" s="1"/>
  <c r="U30" i="4"/>
  <c r="W30" i="4" s="1"/>
  <c r="U29" i="4"/>
  <c r="W29" i="4" s="1"/>
  <c r="U28" i="4"/>
  <c r="W28" i="4" s="1"/>
  <c r="U27" i="4"/>
  <c r="W27" i="4" s="1"/>
  <c r="U26" i="4"/>
  <c r="W26" i="4" s="1"/>
  <c r="U25" i="4"/>
  <c r="W25" i="4" s="1"/>
  <c r="U24" i="4"/>
  <c r="W24" i="4" s="1"/>
  <c r="U23" i="4"/>
  <c r="W23" i="4" s="1"/>
  <c r="U22" i="4"/>
  <c r="W22" i="4" s="1"/>
  <c r="U21" i="4"/>
  <c r="W21" i="4" s="1"/>
  <c r="U20" i="4"/>
  <c r="W20" i="4" s="1"/>
  <c r="U19" i="4"/>
  <c r="W19" i="4" s="1"/>
  <c r="U18" i="4"/>
  <c r="W18" i="4" s="1"/>
  <c r="U17" i="4"/>
  <c r="W17" i="4" s="1"/>
  <c r="U16" i="4"/>
  <c r="W16" i="4" s="1"/>
  <c r="U15" i="4"/>
  <c r="W15" i="4" s="1"/>
  <c r="U14" i="4"/>
  <c r="W14" i="4" s="1"/>
  <c r="U13" i="4"/>
  <c r="W13" i="4" s="1"/>
  <c r="U12" i="4"/>
  <c r="W12" i="4" s="1"/>
  <c r="U11" i="4"/>
  <c r="W11" i="4" s="1"/>
  <c r="U10" i="4"/>
  <c r="W10" i="4" s="1"/>
  <c r="U9" i="4"/>
  <c r="W9" i="4" s="1"/>
  <c r="U8" i="4"/>
  <c r="W8" i="4" s="1"/>
  <c r="U7" i="4"/>
  <c r="W7" i="4" s="1"/>
  <c r="U6" i="4"/>
  <c r="W6" i="4" s="1"/>
  <c r="U5" i="4"/>
  <c r="W5" i="4" s="1"/>
  <c r="R59" i="4"/>
  <c r="T59" i="4" s="1"/>
  <c r="R58" i="4"/>
  <c r="T58" i="4" s="1"/>
  <c r="R57" i="4"/>
  <c r="T57" i="4" s="1"/>
  <c r="R56" i="4"/>
  <c r="T56" i="4" s="1"/>
  <c r="R55" i="4"/>
  <c r="T55" i="4" s="1"/>
  <c r="R54" i="4"/>
  <c r="T54" i="4" s="1"/>
  <c r="R53" i="4"/>
  <c r="T53" i="4" s="1"/>
  <c r="R52" i="4"/>
  <c r="T52" i="4" s="1"/>
  <c r="R51" i="4"/>
  <c r="T51" i="4" s="1"/>
  <c r="R50" i="4"/>
  <c r="T50" i="4" s="1"/>
  <c r="R49" i="4"/>
  <c r="T49" i="4" s="1"/>
  <c r="R48" i="4"/>
  <c r="T48" i="4" s="1"/>
  <c r="R47" i="4"/>
  <c r="T47" i="4" s="1"/>
  <c r="R46" i="4"/>
  <c r="T46" i="4" s="1"/>
  <c r="R45" i="4"/>
  <c r="T45" i="4" s="1"/>
  <c r="R44" i="4"/>
  <c r="T44" i="4" s="1"/>
  <c r="R43" i="4"/>
  <c r="T43" i="4" s="1"/>
  <c r="R42" i="4"/>
  <c r="T42" i="4" s="1"/>
  <c r="R41" i="4"/>
  <c r="T41" i="4" s="1"/>
  <c r="R40" i="4"/>
  <c r="T40" i="4" s="1"/>
  <c r="R39" i="4"/>
  <c r="T39" i="4" s="1"/>
  <c r="R38" i="4"/>
  <c r="T38" i="4" s="1"/>
  <c r="R37" i="4"/>
  <c r="T37" i="4" s="1"/>
  <c r="R36" i="4"/>
  <c r="T36" i="4" s="1"/>
  <c r="R35" i="4"/>
  <c r="T35" i="4" s="1"/>
  <c r="R34" i="4"/>
  <c r="T34" i="4" s="1"/>
  <c r="R33" i="4"/>
  <c r="T33" i="4" s="1"/>
  <c r="R32" i="4"/>
  <c r="T32" i="4" s="1"/>
  <c r="R31" i="4"/>
  <c r="T31" i="4" s="1"/>
  <c r="R30" i="4"/>
  <c r="T30" i="4" s="1"/>
  <c r="R29" i="4"/>
  <c r="T29" i="4" s="1"/>
  <c r="R28" i="4"/>
  <c r="T28" i="4" s="1"/>
  <c r="R27" i="4"/>
  <c r="T27" i="4" s="1"/>
  <c r="R26" i="4"/>
  <c r="T26" i="4" s="1"/>
  <c r="R25" i="4"/>
  <c r="T25" i="4" s="1"/>
  <c r="R24" i="4"/>
  <c r="T24" i="4" s="1"/>
  <c r="R23" i="4"/>
  <c r="T23" i="4" s="1"/>
  <c r="R22" i="4"/>
  <c r="T22" i="4" s="1"/>
  <c r="R21" i="4"/>
  <c r="T21" i="4" s="1"/>
  <c r="R20" i="4"/>
  <c r="T20" i="4" s="1"/>
  <c r="R19" i="4"/>
  <c r="T19" i="4" s="1"/>
  <c r="R18" i="4"/>
  <c r="T18" i="4" s="1"/>
  <c r="R17" i="4"/>
  <c r="T17" i="4" s="1"/>
  <c r="R16" i="4"/>
  <c r="T16" i="4" s="1"/>
  <c r="R15" i="4"/>
  <c r="T15" i="4" s="1"/>
  <c r="R14" i="4"/>
  <c r="T14" i="4" s="1"/>
  <c r="R13" i="4"/>
  <c r="T13" i="4" s="1"/>
  <c r="R12" i="4"/>
  <c r="T12" i="4" s="1"/>
  <c r="R11" i="4"/>
  <c r="T11" i="4" s="1"/>
  <c r="R10" i="4"/>
  <c r="T10" i="4" s="1"/>
  <c r="R9" i="4"/>
  <c r="T9" i="4" s="1"/>
  <c r="R8" i="4"/>
  <c r="T8" i="4" s="1"/>
  <c r="R7" i="4"/>
  <c r="T7" i="4" s="1"/>
  <c r="R6" i="4"/>
  <c r="T6" i="4" s="1"/>
  <c r="R5" i="4"/>
  <c r="T5" i="4" s="1"/>
  <c r="O59" i="4"/>
  <c r="Q59" i="4" s="1"/>
  <c r="O58" i="4"/>
  <c r="Q58" i="4" s="1"/>
  <c r="O57" i="4"/>
  <c r="Q57" i="4" s="1"/>
  <c r="O56" i="4"/>
  <c r="Q56" i="4" s="1"/>
  <c r="O55" i="4"/>
  <c r="Q55" i="4" s="1"/>
  <c r="O54" i="4"/>
  <c r="Q54" i="4" s="1"/>
  <c r="O53" i="4"/>
  <c r="Q53" i="4" s="1"/>
  <c r="O52" i="4"/>
  <c r="Q52" i="4" s="1"/>
  <c r="O51" i="4"/>
  <c r="Q51" i="4" s="1"/>
  <c r="O50" i="4"/>
  <c r="Q50" i="4" s="1"/>
  <c r="O49" i="4"/>
  <c r="Q49" i="4" s="1"/>
  <c r="O48" i="4"/>
  <c r="Q48" i="4" s="1"/>
  <c r="O47" i="4"/>
  <c r="Q47" i="4" s="1"/>
  <c r="O46" i="4"/>
  <c r="Q46" i="4" s="1"/>
  <c r="O45" i="4"/>
  <c r="Q45" i="4" s="1"/>
  <c r="O44" i="4"/>
  <c r="Q44" i="4" s="1"/>
  <c r="O43" i="4"/>
  <c r="Q43" i="4" s="1"/>
  <c r="O42" i="4"/>
  <c r="Q42" i="4" s="1"/>
  <c r="O41" i="4"/>
  <c r="Q41" i="4" s="1"/>
  <c r="O40" i="4"/>
  <c r="Q40" i="4" s="1"/>
  <c r="O39" i="4"/>
  <c r="Q39" i="4" s="1"/>
  <c r="O38" i="4"/>
  <c r="Q38" i="4" s="1"/>
  <c r="O37" i="4"/>
  <c r="Q37" i="4" s="1"/>
  <c r="O36" i="4"/>
  <c r="Q36" i="4" s="1"/>
  <c r="O35" i="4"/>
  <c r="Q35" i="4" s="1"/>
  <c r="O34" i="4"/>
  <c r="Q34" i="4" s="1"/>
  <c r="O33" i="4"/>
  <c r="Q33" i="4" s="1"/>
  <c r="O32" i="4"/>
  <c r="Q32" i="4" s="1"/>
  <c r="O31" i="4"/>
  <c r="Q31" i="4" s="1"/>
  <c r="O30" i="4"/>
  <c r="Q30" i="4" s="1"/>
  <c r="O29" i="4"/>
  <c r="Q29" i="4" s="1"/>
  <c r="O28" i="4"/>
  <c r="Q28" i="4" s="1"/>
  <c r="O27" i="4"/>
  <c r="Q27" i="4" s="1"/>
  <c r="O26" i="4"/>
  <c r="Q26" i="4" s="1"/>
  <c r="O25" i="4"/>
  <c r="Q25" i="4" s="1"/>
  <c r="O24" i="4"/>
  <c r="Q24" i="4" s="1"/>
  <c r="O23" i="4"/>
  <c r="Q23" i="4" s="1"/>
  <c r="O22" i="4"/>
  <c r="Q22" i="4" s="1"/>
  <c r="O21" i="4"/>
  <c r="Q21" i="4" s="1"/>
  <c r="O20" i="4"/>
  <c r="Q20" i="4" s="1"/>
  <c r="O19" i="4"/>
  <c r="Q19" i="4" s="1"/>
  <c r="O18" i="4"/>
  <c r="Q18" i="4" s="1"/>
  <c r="O17" i="4"/>
  <c r="Q17" i="4" s="1"/>
  <c r="O16" i="4"/>
  <c r="Q16" i="4" s="1"/>
  <c r="O15" i="4"/>
  <c r="Q15" i="4" s="1"/>
  <c r="O14" i="4"/>
  <c r="Q14" i="4" s="1"/>
  <c r="O13" i="4"/>
  <c r="Q13" i="4" s="1"/>
  <c r="O12" i="4"/>
  <c r="Q12" i="4" s="1"/>
  <c r="O11" i="4"/>
  <c r="Q11" i="4" s="1"/>
  <c r="O10" i="4"/>
  <c r="Q10" i="4" s="1"/>
  <c r="O9" i="4"/>
  <c r="Q9" i="4" s="1"/>
  <c r="O8" i="4"/>
  <c r="Q8" i="4" s="1"/>
  <c r="O7" i="4"/>
  <c r="Q7" i="4" s="1"/>
  <c r="O6" i="4"/>
  <c r="Q6" i="4" s="1"/>
  <c r="O5" i="4"/>
  <c r="Q5" i="4" s="1"/>
  <c r="L59" i="4"/>
  <c r="N59" i="4" s="1"/>
  <c r="L58" i="4"/>
  <c r="N58" i="4" s="1"/>
  <c r="L57" i="4"/>
  <c r="N57" i="4" s="1"/>
  <c r="L56" i="4"/>
  <c r="N56" i="4" s="1"/>
  <c r="L55" i="4"/>
  <c r="N55" i="4" s="1"/>
  <c r="L54" i="4"/>
  <c r="N54" i="4" s="1"/>
  <c r="L53" i="4"/>
  <c r="N53" i="4" s="1"/>
  <c r="L52" i="4"/>
  <c r="N52" i="4" s="1"/>
  <c r="L51" i="4"/>
  <c r="N51" i="4" s="1"/>
  <c r="L50" i="4"/>
  <c r="N50" i="4" s="1"/>
  <c r="L49" i="4"/>
  <c r="N49" i="4" s="1"/>
  <c r="L48" i="4"/>
  <c r="N48" i="4" s="1"/>
  <c r="L47" i="4"/>
  <c r="N47" i="4" s="1"/>
  <c r="L46" i="4"/>
  <c r="N46" i="4" s="1"/>
  <c r="L45" i="4"/>
  <c r="N45" i="4" s="1"/>
  <c r="L44" i="4"/>
  <c r="N44" i="4" s="1"/>
  <c r="L43" i="4"/>
  <c r="N43" i="4" s="1"/>
  <c r="L42" i="4"/>
  <c r="N42" i="4" s="1"/>
  <c r="L41" i="4"/>
  <c r="N41" i="4" s="1"/>
  <c r="L40" i="4"/>
  <c r="N40" i="4" s="1"/>
  <c r="L39" i="4"/>
  <c r="N39" i="4" s="1"/>
  <c r="L38" i="4"/>
  <c r="N38" i="4" s="1"/>
  <c r="L37" i="4"/>
  <c r="N37" i="4" s="1"/>
  <c r="L36" i="4"/>
  <c r="N36" i="4" s="1"/>
  <c r="L35" i="4"/>
  <c r="N35" i="4" s="1"/>
  <c r="L34" i="4"/>
  <c r="N34" i="4" s="1"/>
  <c r="L33" i="4"/>
  <c r="N33" i="4" s="1"/>
  <c r="L32" i="4"/>
  <c r="N32" i="4" s="1"/>
  <c r="L31" i="4"/>
  <c r="N31" i="4" s="1"/>
  <c r="L30" i="4"/>
  <c r="N30" i="4" s="1"/>
  <c r="L29" i="4"/>
  <c r="N29" i="4" s="1"/>
  <c r="L28" i="4"/>
  <c r="N28" i="4" s="1"/>
  <c r="L27" i="4"/>
  <c r="N27" i="4" s="1"/>
  <c r="L26" i="4"/>
  <c r="N26" i="4" s="1"/>
  <c r="L25" i="4"/>
  <c r="N25" i="4" s="1"/>
  <c r="L24" i="4"/>
  <c r="N24" i="4" s="1"/>
  <c r="L23" i="4"/>
  <c r="N23" i="4" s="1"/>
  <c r="L22" i="4"/>
  <c r="N22" i="4" s="1"/>
  <c r="L21" i="4"/>
  <c r="N21" i="4" s="1"/>
  <c r="L20" i="4"/>
  <c r="N20" i="4" s="1"/>
  <c r="L19" i="4"/>
  <c r="N19" i="4" s="1"/>
  <c r="L18" i="4"/>
  <c r="N18" i="4" s="1"/>
  <c r="L17" i="4"/>
  <c r="N17" i="4" s="1"/>
  <c r="L16" i="4"/>
  <c r="N16" i="4" s="1"/>
  <c r="L15" i="4"/>
  <c r="N15" i="4" s="1"/>
  <c r="L14" i="4"/>
  <c r="N14" i="4" s="1"/>
  <c r="L13" i="4"/>
  <c r="N13" i="4" s="1"/>
  <c r="L12" i="4"/>
  <c r="N12" i="4" s="1"/>
  <c r="L11" i="4"/>
  <c r="N11" i="4" s="1"/>
  <c r="L10" i="4"/>
  <c r="N10" i="4" s="1"/>
  <c r="L9" i="4"/>
  <c r="N9" i="4" s="1"/>
  <c r="L8" i="4"/>
  <c r="N8" i="4" s="1"/>
  <c r="L7" i="4"/>
  <c r="N7" i="4" s="1"/>
  <c r="L6" i="4"/>
  <c r="N6" i="4" s="1"/>
  <c r="L5" i="4"/>
  <c r="N5" i="4" s="1"/>
  <c r="I59" i="4"/>
  <c r="K59" i="4" s="1"/>
  <c r="I58" i="4"/>
  <c r="K58" i="4" s="1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I46" i="4"/>
  <c r="K46" i="4" s="1"/>
  <c r="I45" i="4"/>
  <c r="K45" i="4" s="1"/>
  <c r="I44" i="4"/>
  <c r="K44" i="4" s="1"/>
  <c r="I43" i="4"/>
  <c r="K43" i="4" s="1"/>
  <c r="I42" i="4"/>
  <c r="K42" i="4" s="1"/>
  <c r="I41" i="4"/>
  <c r="K41" i="4" s="1"/>
  <c r="I40" i="4"/>
  <c r="K40" i="4" s="1"/>
  <c r="I39" i="4"/>
  <c r="K39" i="4" s="1"/>
  <c r="I38" i="4"/>
  <c r="K38" i="4" s="1"/>
  <c r="I37" i="4"/>
  <c r="K37" i="4" s="1"/>
  <c r="I36" i="4"/>
  <c r="K36" i="4" s="1"/>
  <c r="I35" i="4"/>
  <c r="K35" i="4" s="1"/>
  <c r="I34" i="4"/>
  <c r="K34" i="4" s="1"/>
  <c r="I33" i="4"/>
  <c r="K33" i="4" s="1"/>
  <c r="I32" i="4"/>
  <c r="K32" i="4" s="1"/>
  <c r="I31" i="4"/>
  <c r="K31" i="4" s="1"/>
  <c r="I30" i="4"/>
  <c r="K30" i="4" s="1"/>
  <c r="I29" i="4"/>
  <c r="K29" i="4" s="1"/>
  <c r="I28" i="4"/>
  <c r="K28" i="4" s="1"/>
  <c r="I27" i="4"/>
  <c r="K27" i="4" s="1"/>
  <c r="I26" i="4"/>
  <c r="K26" i="4" s="1"/>
  <c r="I25" i="4"/>
  <c r="K25" i="4" s="1"/>
  <c r="I24" i="4"/>
  <c r="K24" i="4" s="1"/>
  <c r="I23" i="4"/>
  <c r="K23" i="4" s="1"/>
  <c r="I22" i="4"/>
  <c r="K22" i="4" s="1"/>
  <c r="I21" i="4"/>
  <c r="K21" i="4" s="1"/>
  <c r="I20" i="4"/>
  <c r="K20" i="4" s="1"/>
  <c r="I19" i="4"/>
  <c r="K19" i="4" s="1"/>
  <c r="I18" i="4"/>
  <c r="K18" i="4" s="1"/>
  <c r="I17" i="4"/>
  <c r="K17" i="4" s="1"/>
  <c r="I16" i="4"/>
  <c r="K16" i="4" s="1"/>
  <c r="I15" i="4"/>
  <c r="K15" i="4" s="1"/>
  <c r="I14" i="4"/>
  <c r="K14" i="4" s="1"/>
  <c r="I13" i="4"/>
  <c r="K13" i="4" s="1"/>
  <c r="I12" i="4"/>
  <c r="K12" i="4" s="1"/>
  <c r="I11" i="4"/>
  <c r="K11" i="4" s="1"/>
  <c r="I10" i="4"/>
  <c r="K10" i="4" s="1"/>
  <c r="I9" i="4"/>
  <c r="K9" i="4" s="1"/>
  <c r="I8" i="4"/>
  <c r="K8" i="4" s="1"/>
  <c r="I7" i="4"/>
  <c r="K7" i="4" s="1"/>
  <c r="I6" i="4"/>
  <c r="K6" i="4" s="1"/>
  <c r="I5" i="4"/>
  <c r="K5" i="4" s="1"/>
  <c r="F59" i="4"/>
  <c r="H59" i="4" s="1"/>
  <c r="F58" i="4"/>
  <c r="H58" i="4" s="1"/>
  <c r="F57" i="4"/>
  <c r="H57" i="4" s="1"/>
  <c r="F56" i="4"/>
  <c r="H56" i="4" s="1"/>
  <c r="F55" i="4"/>
  <c r="H55" i="4" s="1"/>
  <c r="F54" i="4"/>
  <c r="H54" i="4" s="1"/>
  <c r="F53" i="4"/>
  <c r="H53" i="4" s="1"/>
  <c r="F52" i="4"/>
  <c r="H52" i="4" s="1"/>
  <c r="F51" i="4"/>
  <c r="H51" i="4" s="1"/>
  <c r="F50" i="4"/>
  <c r="H50" i="4" s="1"/>
  <c r="F49" i="4"/>
  <c r="H49" i="4" s="1"/>
  <c r="F48" i="4"/>
  <c r="H48" i="4" s="1"/>
  <c r="F47" i="4"/>
  <c r="H47" i="4" s="1"/>
  <c r="F46" i="4"/>
  <c r="H46" i="4" s="1"/>
  <c r="F45" i="4"/>
  <c r="H45" i="4" s="1"/>
  <c r="F44" i="4"/>
  <c r="H44" i="4" s="1"/>
  <c r="F43" i="4"/>
  <c r="H43" i="4" s="1"/>
  <c r="F42" i="4"/>
  <c r="H42" i="4" s="1"/>
  <c r="F41" i="4"/>
  <c r="H41" i="4" s="1"/>
  <c r="F40" i="4"/>
  <c r="H40" i="4" s="1"/>
  <c r="F39" i="4"/>
  <c r="H39" i="4" s="1"/>
  <c r="F38" i="4"/>
  <c r="H38" i="4" s="1"/>
  <c r="F37" i="4"/>
  <c r="H37" i="4" s="1"/>
  <c r="F36" i="4"/>
  <c r="H36" i="4" s="1"/>
  <c r="F35" i="4"/>
  <c r="H35" i="4" s="1"/>
  <c r="F34" i="4"/>
  <c r="H34" i="4" s="1"/>
  <c r="F33" i="4"/>
  <c r="H33" i="4" s="1"/>
  <c r="F32" i="4"/>
  <c r="H32" i="4" s="1"/>
  <c r="F31" i="4"/>
  <c r="H31" i="4" s="1"/>
  <c r="F30" i="4"/>
  <c r="H30" i="4" s="1"/>
  <c r="F29" i="4"/>
  <c r="H29" i="4" s="1"/>
  <c r="F28" i="4"/>
  <c r="H28" i="4" s="1"/>
  <c r="F27" i="4"/>
  <c r="H27" i="4" s="1"/>
  <c r="F26" i="4"/>
  <c r="H26" i="4" s="1"/>
  <c r="F25" i="4"/>
  <c r="H25" i="4" s="1"/>
  <c r="F24" i="4"/>
  <c r="H24" i="4" s="1"/>
  <c r="F23" i="4"/>
  <c r="H23" i="4" s="1"/>
  <c r="F22" i="4"/>
  <c r="H22" i="4" s="1"/>
  <c r="F21" i="4"/>
  <c r="H21" i="4" s="1"/>
  <c r="F20" i="4"/>
  <c r="H20" i="4" s="1"/>
  <c r="F19" i="4"/>
  <c r="H19" i="4" s="1"/>
  <c r="F18" i="4"/>
  <c r="H18" i="4" s="1"/>
  <c r="F17" i="4"/>
  <c r="H17" i="4" s="1"/>
  <c r="F16" i="4"/>
  <c r="H16" i="4" s="1"/>
  <c r="F15" i="4"/>
  <c r="H15" i="4" s="1"/>
  <c r="F14" i="4"/>
  <c r="H14" i="4" s="1"/>
  <c r="F13" i="4"/>
  <c r="H13" i="4" s="1"/>
  <c r="F12" i="4"/>
  <c r="H12" i="4" s="1"/>
  <c r="F11" i="4"/>
  <c r="H11" i="4" s="1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  <c r="C59" i="4"/>
  <c r="E59" i="4" s="1"/>
  <c r="C58" i="4"/>
  <c r="E58" i="4" s="1"/>
  <c r="C57" i="4"/>
  <c r="E57" i="4" s="1"/>
  <c r="C56" i="4"/>
  <c r="E56" i="4" s="1"/>
  <c r="C55" i="4"/>
  <c r="E55" i="4" s="1"/>
  <c r="C54" i="4"/>
  <c r="E54" i="4" s="1"/>
  <c r="C53" i="4"/>
  <c r="E53" i="4" s="1"/>
  <c r="C52" i="4"/>
  <c r="E52" i="4" s="1"/>
  <c r="C51" i="4"/>
  <c r="E51" i="4" s="1"/>
  <c r="C50" i="4"/>
  <c r="E50" i="4" s="1"/>
  <c r="C49" i="4"/>
  <c r="E49" i="4" s="1"/>
  <c r="C48" i="4"/>
  <c r="E48" i="4" s="1"/>
  <c r="C47" i="4"/>
  <c r="E47" i="4" s="1"/>
  <c r="C46" i="4"/>
  <c r="E46" i="4" s="1"/>
  <c r="C45" i="4"/>
  <c r="E45" i="4" s="1"/>
  <c r="C44" i="4"/>
  <c r="E44" i="4" s="1"/>
  <c r="C43" i="4"/>
  <c r="E43" i="4" s="1"/>
  <c r="C42" i="4"/>
  <c r="E42" i="4" s="1"/>
  <c r="C41" i="4"/>
  <c r="E41" i="4" s="1"/>
  <c r="C40" i="4"/>
  <c r="E40" i="4" s="1"/>
  <c r="C39" i="4"/>
  <c r="E39" i="4" s="1"/>
  <c r="C38" i="4"/>
  <c r="E38" i="4" s="1"/>
  <c r="C37" i="4"/>
  <c r="E37" i="4" s="1"/>
  <c r="C36" i="4"/>
  <c r="E36" i="4" s="1"/>
  <c r="C35" i="4"/>
  <c r="E35" i="4" s="1"/>
  <c r="C34" i="4"/>
  <c r="E34" i="4" s="1"/>
  <c r="C33" i="4"/>
  <c r="E33" i="4" s="1"/>
  <c r="C32" i="4"/>
  <c r="E32" i="4" s="1"/>
  <c r="C31" i="4"/>
  <c r="E31" i="4" s="1"/>
  <c r="C30" i="4"/>
  <c r="E30" i="4" s="1"/>
  <c r="C29" i="4"/>
  <c r="E29" i="4" s="1"/>
  <c r="C28" i="4"/>
  <c r="E28" i="4" s="1"/>
  <c r="C27" i="4"/>
  <c r="E27" i="4" s="1"/>
  <c r="C26" i="4"/>
  <c r="E26" i="4" s="1"/>
  <c r="C25" i="4"/>
  <c r="E25" i="4" s="1"/>
  <c r="C24" i="4"/>
  <c r="E24" i="4" s="1"/>
  <c r="C23" i="4"/>
  <c r="E23" i="4" s="1"/>
  <c r="C22" i="4"/>
  <c r="E22" i="4" s="1"/>
  <c r="C21" i="4"/>
  <c r="E21" i="4" s="1"/>
  <c r="C20" i="4"/>
  <c r="E20" i="4" s="1"/>
  <c r="C19" i="4"/>
  <c r="E19" i="4" s="1"/>
  <c r="C18" i="4"/>
  <c r="E18" i="4" s="1"/>
  <c r="C17" i="4"/>
  <c r="E17" i="4" s="1"/>
  <c r="C16" i="4"/>
  <c r="E16" i="4" s="1"/>
  <c r="C15" i="4"/>
  <c r="E15" i="4" s="1"/>
  <c r="C14" i="4"/>
  <c r="E14" i="4" s="1"/>
  <c r="C13" i="4"/>
  <c r="E13" i="4" s="1"/>
  <c r="C12" i="4"/>
  <c r="E12" i="4" s="1"/>
  <c r="C11" i="4"/>
  <c r="E11" i="4" s="1"/>
  <c r="C10" i="4"/>
  <c r="E10" i="4" s="1"/>
  <c r="C9" i="4"/>
  <c r="E9" i="4" s="1"/>
  <c r="C8" i="4"/>
  <c r="E8" i="4" s="1"/>
  <c r="C7" i="4"/>
  <c r="E7" i="4" s="1"/>
  <c r="C6" i="4"/>
  <c r="E6" i="4" s="1"/>
  <c r="C5" i="4"/>
  <c r="E5" i="4" s="1"/>
  <c r="BA53" i="4" l="1"/>
  <c r="BC53" i="4"/>
  <c r="BA54" i="4"/>
  <c r="BC54" i="4"/>
  <c r="BA12" i="4"/>
  <c r="BC12" i="4"/>
  <c r="BA20" i="4"/>
  <c r="BC20" i="4"/>
  <c r="BA28" i="4"/>
  <c r="BC28" i="4"/>
  <c r="BA36" i="4"/>
  <c r="BC36" i="4"/>
  <c r="BA44" i="4"/>
  <c r="BC44" i="4"/>
  <c r="BA52" i="4"/>
  <c r="BC52" i="4"/>
  <c r="BA45" i="4"/>
  <c r="BC45" i="4"/>
  <c r="BA22" i="4"/>
  <c r="BC22" i="4"/>
  <c r="BA7" i="4"/>
  <c r="BC7" i="4"/>
  <c r="BA15" i="4"/>
  <c r="BC15" i="4"/>
  <c r="BA23" i="4"/>
  <c r="BC23" i="4"/>
  <c r="BA31" i="4"/>
  <c r="BC31" i="4"/>
  <c r="BA39" i="4"/>
  <c r="BC39" i="4"/>
  <c r="BA47" i="4"/>
  <c r="BC47" i="4"/>
  <c r="BA55" i="4"/>
  <c r="BC55" i="4"/>
  <c r="BA37" i="4"/>
  <c r="BC37" i="4"/>
  <c r="BA30" i="4"/>
  <c r="BC30" i="4"/>
  <c r="BA8" i="4"/>
  <c r="BC8" i="4"/>
  <c r="BA16" i="4"/>
  <c r="BC16" i="4"/>
  <c r="BA24" i="4"/>
  <c r="BC24" i="4"/>
  <c r="BA32" i="4"/>
  <c r="BC32" i="4"/>
  <c r="BA40" i="4"/>
  <c r="BC40" i="4"/>
  <c r="BA48" i="4"/>
  <c r="BC48" i="4"/>
  <c r="BA56" i="4"/>
  <c r="BC56" i="4"/>
  <c r="BA6" i="4"/>
  <c r="BC6" i="4"/>
  <c r="BA14" i="4"/>
  <c r="BC14" i="4"/>
  <c r="BA9" i="4"/>
  <c r="BC9" i="4"/>
  <c r="BA17" i="4"/>
  <c r="BC17" i="4"/>
  <c r="BA25" i="4"/>
  <c r="BC25" i="4"/>
  <c r="BA33" i="4"/>
  <c r="BC33" i="4"/>
  <c r="BA41" i="4"/>
  <c r="BC41" i="4"/>
  <c r="BA49" i="4"/>
  <c r="BC49" i="4"/>
  <c r="BA57" i="4"/>
  <c r="BC57" i="4"/>
  <c r="BA13" i="4"/>
  <c r="BC13" i="4"/>
  <c r="BA21" i="4"/>
  <c r="BC21" i="4"/>
  <c r="BA46" i="4"/>
  <c r="BC46" i="4"/>
  <c r="BA10" i="4"/>
  <c r="BC10" i="4"/>
  <c r="BA18" i="4"/>
  <c r="BC18" i="4"/>
  <c r="BA26" i="4"/>
  <c r="BC26" i="4"/>
  <c r="BA34" i="4"/>
  <c r="BC34" i="4"/>
  <c r="BA42" i="4"/>
  <c r="BC42" i="4"/>
  <c r="BA50" i="4"/>
  <c r="BC50" i="4"/>
  <c r="BA58" i="4"/>
  <c r="BC58" i="4"/>
  <c r="BA5" i="4"/>
  <c r="BC5" i="4"/>
  <c r="BA29" i="4"/>
  <c r="BC29" i="4"/>
  <c r="BA38" i="4"/>
  <c r="BC38" i="4"/>
  <c r="BA11" i="4"/>
  <c r="BC11" i="4"/>
  <c r="BA19" i="4"/>
  <c r="BC19" i="4"/>
  <c r="BA27" i="4"/>
  <c r="BC27" i="4"/>
  <c r="BA35" i="4"/>
  <c r="BC35" i="4"/>
  <c r="BA43" i="4"/>
  <c r="BC43" i="4"/>
  <c r="BA51" i="4"/>
  <c r="BC51" i="4"/>
  <c r="BA59" i="4"/>
  <c r="BC59" i="4"/>
</calcChain>
</file>

<file path=xl/sharedStrings.xml><?xml version="1.0" encoding="utf-8"?>
<sst xmlns="http://schemas.openxmlformats.org/spreadsheetml/2006/main" count="4723" uniqueCount="856">
  <si>
    <t>Name</t>
  </si>
  <si>
    <t>United Components</t>
  </si>
  <si>
    <t>ds_gross_sales</t>
  </si>
  <si>
    <t>Gross Sales</t>
  </si>
  <si>
    <t>ds_inelig_state</t>
  </si>
  <si>
    <t>Direct Sales to Non-Domestic Customers</t>
  </si>
  <si>
    <t>ds_inelig_cot</t>
  </si>
  <si>
    <t>Direct Sales to Ineligible Customers (COT)</t>
  </si>
  <si>
    <t>ds_inelig_cont</t>
  </si>
  <si>
    <t>Direct Sales to Ineligible Customers (Contract)</t>
  </si>
  <si>
    <t>ds_free_goods</t>
  </si>
  <si>
    <t>Ineligible Free Goods</t>
  </si>
  <si>
    <t>ds_inelig_340b</t>
  </si>
  <si>
    <t>RHAP Sales to 340B Eligible Customers</t>
  </si>
  <si>
    <t>ds_elig</t>
  </si>
  <si>
    <t>Eligible Direct Sales</t>
  </si>
  <si>
    <t>ds_elig_adj</t>
  </si>
  <si>
    <t>Eligible Credits and Adjustments</t>
  </si>
  <si>
    <t>cbk_cont_inelig_12m</t>
  </si>
  <si>
    <t>12-Month Total : Ineligible Contract Chargeback Qty</t>
  </si>
  <si>
    <t>cbk_state_inelig_12m</t>
  </si>
  <si>
    <t>12-Month Total : Ineligible State Chargeback Qty</t>
  </si>
  <si>
    <t>cbk_cot_inelig_12m</t>
  </si>
  <si>
    <t>12-Month Total : Ineligible Cot Chargeback Qty</t>
  </si>
  <si>
    <t>avg_ds_elig</t>
  </si>
  <si>
    <t>Cur. Average Direct Price</t>
  </si>
  <si>
    <t>indir_inelig_ratio</t>
  </si>
  <si>
    <t>Smoothing Ratio COT + Smoothing Ratio State + Smoothing Ratio Contract  + Smoothing Ratio Mail Order</t>
  </si>
  <si>
    <t>indir_smooth_inelig</t>
  </si>
  <si>
    <t>Smoothed Indirect Ineligible Sales-State +
Smoothed Indirect Ineligible Sales-COT + 
Smoothed Indirect Ineligible Sales-Contract +
Smoothed Indirect Ineligible Sales-Mail Order +
Smoothed Indirect Ineligible Dollars(ndc11)</t>
  </si>
  <si>
    <t>amp_elig</t>
  </si>
  <si>
    <t xml:space="preserve"> AMP Eligible Sales </t>
  </si>
  <si>
    <t>cbk_elig_12m</t>
  </si>
  <si>
    <t>12-Month Total : Eligible Chargeback $</t>
  </si>
  <si>
    <t>ds_elig_12m</t>
  </si>
  <si>
    <t>12-Month Total : Net Eligible Qty</t>
  </si>
  <si>
    <t>amp_elig_12m</t>
  </si>
  <si>
    <t>12-Month Total : Non-Smoothed AMP Eligible $</t>
  </si>
  <si>
    <t>reb_fees_factored_12m</t>
  </si>
  <si>
    <t>12-Month Total : Prorated Eligible Rebates</t>
  </si>
  <si>
    <t>pc_elig_12m</t>
  </si>
  <si>
    <t>12-Month Total :Total Price Concession $</t>
  </si>
  <si>
    <t>pc_elig_ratio</t>
  </si>
  <si>
    <t>Smoothed Price Concessions : Smoothing Ratio</t>
  </si>
  <si>
    <t>pc_smooth_elig</t>
  </si>
  <si>
    <t>Smoothed Price Concessions</t>
  </si>
  <si>
    <t>nonwhl_ppd</t>
  </si>
  <si>
    <t xml:space="preserve">CPPD to Non-Wholesalers </t>
  </si>
  <si>
    <t>amp_net_elig</t>
  </si>
  <si>
    <t>Net NDC9 AMP Eligible Sales</t>
  </si>
  <si>
    <t>ramp</t>
  </si>
  <si>
    <t xml:space="preserve">AMP (NDC9) </t>
  </si>
  <si>
    <t>Variance</t>
  </si>
  <si>
    <t>NDC11</t>
  </si>
  <si>
    <t>Product Name</t>
  </si>
  <si>
    <t>Gross Sales - Dollars</t>
  </si>
  <si>
    <t>Gross Sales - Units</t>
  </si>
  <si>
    <t>Gross Sales - Price/Unit</t>
  </si>
  <si>
    <t>Direct Sales to Non-Domestic Customers - Dollars</t>
  </si>
  <si>
    <t>Direct Sales to Non-Domestic Customers - Units</t>
  </si>
  <si>
    <t>Direct Sales to Non-Domestic Customers - Price/Unit</t>
  </si>
  <si>
    <t>Direct Sales to Ineligible Customers (COT) - Dollars</t>
  </si>
  <si>
    <t>Direct Sales to Ineligible Customers (COT) - Units</t>
  </si>
  <si>
    <t>Direct Sales to Ineligible Customers (COT) - Price/Unit</t>
  </si>
  <si>
    <t>Direct Sales to Ineligible Customers (Contract) - Dollars</t>
  </si>
  <si>
    <t>Direct Sales to Ineligible Customers (Contract) - Units</t>
  </si>
  <si>
    <t>Direct Sales to Ineligible Customers (Contract) - Price/Unit</t>
  </si>
  <si>
    <t>Ineligible Free Goods - Dollars</t>
  </si>
  <si>
    <t>Ineligible Free Goods - Units</t>
  </si>
  <si>
    <t>Ineligible Free Goods - Price/Unit</t>
  </si>
  <si>
    <t>RHAP Sales to 340B Eligible Customers - Dollars</t>
  </si>
  <si>
    <t>RHAP Sales to 340B Eligible Customers - Units</t>
  </si>
  <si>
    <t>RHAP Sales to 340B Eligible Customers - Price/Unit</t>
  </si>
  <si>
    <t>Eligible Direct Sales - Dollars</t>
  </si>
  <si>
    <t>Eligible Direct Sales - Units</t>
  </si>
  <si>
    <t>Eligible Direct Sales - Price/Unit</t>
  </si>
  <si>
    <t>Smoothed Indirect Ineligible Sales-State - Dollars</t>
  </si>
  <si>
    <t>Smoothed Indirect Ineligible Sales-State - Units</t>
  </si>
  <si>
    <t>Smoothed Indirect Ineligible Sales-State - Price/Unit</t>
  </si>
  <si>
    <t>Smoothed Indirect Ineligible Sales-COT - Dollars</t>
  </si>
  <si>
    <t>Smoothed Indirect Ineligible Sales-COT - Units</t>
  </si>
  <si>
    <t>Smoothed Indirect Ineligible Sales-COT - Price/Unit</t>
  </si>
  <si>
    <t>Smoothed Indirect Ineligible Sales-Contract - Dollars</t>
  </si>
  <si>
    <t>Smoothed Indirect Ineligible Sales-Contract - Units</t>
  </si>
  <si>
    <t>Smoothed Indirect Ineligible Sales-Contract - Price/Unit</t>
  </si>
  <si>
    <t>Smoothed Indirect Ineligible Sales-Mail Order - Dollars</t>
  </si>
  <si>
    <t>Smoothed Indirect Ineligible Sales-Mail Order - Units</t>
  </si>
  <si>
    <t>Smoothed Indirect Ineligible Sales-Mail Order - Price/Unit</t>
  </si>
  <si>
    <t>Smoothed Indirect Ineligible Dollars(ndc11) - Dollars</t>
  </si>
  <si>
    <t>Smoothed Indirect Ineligible Dollars(ndc11) - Units</t>
  </si>
  <si>
    <t>Smoothed Indirect Ineligible Dollars(ndc11) - Price/Unit</t>
  </si>
  <si>
    <t>AMP Eligible Sales - Dollars</t>
  </si>
  <si>
    <t>AMP Eligible Sales - Units</t>
  </si>
  <si>
    <t>AMP Eligible Sales - Price/Unit</t>
  </si>
  <si>
    <t>Eligible Credits and Adjustments - Dollars</t>
  </si>
  <si>
    <t>Eligible Credits and Adjustments - Units</t>
  </si>
  <si>
    <t>Eligible Credits and Adjustments - Price/Unit</t>
  </si>
  <si>
    <t>Adjusted AMP Eligible Sales - Dollars</t>
  </si>
  <si>
    <t>Adjusted AMP Eligible Sales - Units</t>
  </si>
  <si>
    <t>Adjusted AMP Eligible Sales - Price/Unit</t>
  </si>
  <si>
    <t>Adjusted AMP Eligible Sales (NDC9) - Dollars</t>
  </si>
  <si>
    <t>Adjusted AMP Eligible Sales (NDC9) - Units</t>
  </si>
  <si>
    <t>Adjusted AMP Eligible Sales (NDC9) - Price/Unit</t>
  </si>
  <si>
    <t>Smoothed Price Concessions - Dollars</t>
  </si>
  <si>
    <t>Smoothed Price Concessions - Units</t>
  </si>
  <si>
    <t>Smoothed Price Concessions - Price/Unit</t>
  </si>
  <si>
    <t>CPPD to Non-Wholesalers - Dollars</t>
  </si>
  <si>
    <t>CPPD to Non-Wholesalers - Units</t>
  </si>
  <si>
    <t>CPPD to Non-Wholesalers - Price/Unit</t>
  </si>
  <si>
    <t>Net NDC9 AMP Eligible Sales - Dollars</t>
  </si>
  <si>
    <t>Net NDC9 AMP Eligible Sales - Units</t>
  </si>
  <si>
    <t>Net NDC9 AMP Eligible Sales - Price/Unit</t>
  </si>
  <si>
    <t>AMP (NDC9) - Dollars</t>
  </si>
  <si>
    <t>AMP (NDC9) - Units</t>
  </si>
  <si>
    <t>AMP (NDC9) - Price/Unit</t>
  </si>
  <si>
    <t>66302001401</t>
  </si>
  <si>
    <t>3,466.292000</t>
  </si>
  <si>
    <t>0.00</t>
  </si>
  <si>
    <t>0.000000</t>
  </si>
  <si>
    <t>18.15</t>
  </si>
  <si>
    <t>3,396.966160</t>
  </si>
  <si>
    <t>66302010101</t>
  </si>
  <si>
    <t>63.666000</t>
  </si>
  <si>
    <t>94.27</t>
  </si>
  <si>
    <t>1,627.77</t>
  </si>
  <si>
    <t>66302010201</t>
  </si>
  <si>
    <t>159.165000</t>
  </si>
  <si>
    <t>333.23</t>
  </si>
  <si>
    <t>958.43</t>
  </si>
  <si>
    <t>66302010501</t>
  </si>
  <si>
    <t>318.330000</t>
  </si>
  <si>
    <t>251.36</t>
  </si>
  <si>
    <t>783.65</t>
  </si>
  <si>
    <t>66302011001</t>
  </si>
  <si>
    <t>37,400.00</t>
  </si>
  <si>
    <t>636.660000</t>
  </si>
  <si>
    <t>308.52</t>
  </si>
  <si>
    <t>1,507.70</t>
  </si>
  <si>
    <t>66302015050</t>
  </si>
  <si>
    <t>0.252600</t>
  </si>
  <si>
    <t>990.21</t>
  </si>
  <si>
    <t>0.247548</t>
  </si>
  <si>
    <t>66302020601</t>
  </si>
  <si>
    <t>287.216379</t>
  </si>
  <si>
    <t>777.73</t>
  </si>
  <si>
    <t>246.41</t>
  </si>
  <si>
    <t>66302020602</t>
  </si>
  <si>
    <t>257.464901</t>
  </si>
  <si>
    <t>7,378.64</t>
  </si>
  <si>
    <t>3,244.11</t>
  </si>
  <si>
    <t>66302020603</t>
  </si>
  <si>
    <t>257.463793</t>
  </si>
  <si>
    <t>58.23</t>
  </si>
  <si>
    <t>21.73</t>
  </si>
  <si>
    <t>66302020604</t>
  </si>
  <si>
    <t>66302030001</t>
  </si>
  <si>
    <t>6.944100</t>
  </si>
  <si>
    <t>66302030002</t>
  </si>
  <si>
    <t>66302030010</t>
  </si>
  <si>
    <t>66302030201</t>
  </si>
  <si>
    <t>13.887500</t>
  </si>
  <si>
    <t>66302030202</t>
  </si>
  <si>
    <t>66302030210</t>
  </si>
  <si>
    <t>66302031001</t>
  </si>
  <si>
    <t>55.551300</t>
  </si>
  <si>
    <t>66302031002</t>
  </si>
  <si>
    <t>66302031010</t>
  </si>
  <si>
    <t>66302032501</t>
  </si>
  <si>
    <t>68,400.00</t>
  </si>
  <si>
    <t>138.878600</t>
  </si>
  <si>
    <t>12,000.00</t>
  </si>
  <si>
    <t>66302032502</t>
  </si>
  <si>
    <t>66302032510</t>
  </si>
  <si>
    <t>66302035001</t>
  </si>
  <si>
    <t>277.757000</t>
  </si>
  <si>
    <t>66302035002</t>
  </si>
  <si>
    <t>66302035010</t>
  </si>
  <si>
    <t>66302036001</t>
  </si>
  <si>
    <t>0.000001</t>
  </si>
  <si>
    <t>66302036002</t>
  </si>
  <si>
    <t>66302036003</t>
  </si>
  <si>
    <t>66302036004</t>
  </si>
  <si>
    <t>66302036005</t>
  </si>
  <si>
    <t>66302036006</t>
  </si>
  <si>
    <t>66302036007</t>
  </si>
  <si>
    <t>66302036008</t>
  </si>
  <si>
    <t>66302036009</t>
  </si>
  <si>
    <t>66302036010</t>
  </si>
  <si>
    <t>66302036011</t>
  </si>
  <si>
    <t>66302036012</t>
  </si>
  <si>
    <t>66302036128</t>
  </si>
  <si>
    <t>1,458.310000</t>
  </si>
  <si>
    <t>66302036256</t>
  </si>
  <si>
    <t>3,791.630000</t>
  </si>
  <si>
    <t>66302036384</t>
  </si>
  <si>
    <t>20.00</t>
  </si>
  <si>
    <t>6,124.940000</t>
  </si>
  <si>
    <t>66302046760</t>
  </si>
  <si>
    <t>69.500000</t>
  </si>
  <si>
    <t>17,925.23</t>
  </si>
  <si>
    <t>20.54</t>
  </si>
  <si>
    <t>66302060002</t>
  </si>
  <si>
    <t>20,487.968200</t>
  </si>
  <si>
    <t>66302061002</t>
  </si>
  <si>
    <t>23,005.070000</t>
  </si>
  <si>
    <t>24.88</t>
  </si>
  <si>
    <t>7.59</t>
  </si>
  <si>
    <t>66302061601</t>
  </si>
  <si>
    <t>66302061603</t>
  </si>
  <si>
    <t>3.19</t>
  </si>
  <si>
    <t>8.31</t>
  </si>
  <si>
    <t>66302063201</t>
  </si>
  <si>
    <t>66302063203</t>
  </si>
  <si>
    <t>117.11</t>
  </si>
  <si>
    <t>21.45</t>
  </si>
  <si>
    <t>66302064801</t>
  </si>
  <si>
    <t>66302064803</t>
  </si>
  <si>
    <t>370.44</t>
  </si>
  <si>
    <t>39.84</t>
  </si>
  <si>
    <t>66302066401</t>
  </si>
  <si>
    <t>66302066403</t>
  </si>
  <si>
    <t>74.07</t>
  </si>
  <si>
    <t>51.45</t>
  </si>
  <si>
    <t>66302071604</t>
  </si>
  <si>
    <t>3,222.798600</t>
  </si>
  <si>
    <t>66302073204</t>
  </si>
  <si>
    <t>66302074804</t>
  </si>
  <si>
    <t>66302076404</t>
  </si>
  <si>
    <t>12-Month Total Mail Order Qty</t>
  </si>
  <si>
    <t>12-Month Total Net Eligible Qty</t>
  </si>
  <si>
    <t>Smoothing Ratio COT</t>
  </si>
  <si>
    <t>Smoothing Ratio State</t>
  </si>
  <si>
    <t>Smoothing Ratio Contract</t>
  </si>
  <si>
    <t>Smoothing Ratio Mail Order</t>
  </si>
  <si>
    <t>Cur. Month Net Eligible Sales Qty</t>
  </si>
  <si>
    <t>Smoothed Indirect Ineligible Qty COT</t>
  </si>
  <si>
    <t>Smoothed Indirect Ineligible Qty STATE</t>
  </si>
  <si>
    <t>Smoothed Indirect Ineligible Qty CONTRACT</t>
  </si>
  <si>
    <t>Smoothed Indirect Ineligible Qty MAIL ORDER</t>
  </si>
  <si>
    <t>12-Month Total Non-Prorated Eligible Rebates</t>
  </si>
  <si>
    <t>12-Month Total Prorated Eligible Rebates</t>
  </si>
  <si>
    <t>12-Month Total Eligible Chargeback</t>
  </si>
  <si>
    <t>12-Month Total Eligible Rebate</t>
  </si>
  <si>
    <t>12-Month Total Total Price Concession</t>
  </si>
  <si>
    <t>12-Month Total Non-Smoothed AMP Eligible</t>
  </si>
  <si>
    <t>period</t>
  </si>
  <si>
    <t>Select the period to fetch the values</t>
  </si>
  <si>
    <t>prior period</t>
  </si>
  <si>
    <t>calc_type</t>
  </si>
  <si>
    <t>rcp_sales</t>
  </si>
  <si>
    <t>rcp_sales_12m</t>
  </si>
  <si>
    <t>rcp_elig_adj</t>
  </si>
  <si>
    <t>rcp_elig_adj_12m</t>
  </si>
  <si>
    <t>non_rcp_cbk_sales</t>
  </si>
  <si>
    <t>non_rcp_cbk_sales_12m</t>
  </si>
  <si>
    <t>ds_gross_sales_pre</t>
  </si>
  <si>
    <t>ds_gross_sales_12m_pre</t>
  </si>
  <si>
    <t>ds_gross_sales_12m</t>
  </si>
  <si>
    <t>rcp_amp_elig_12m</t>
  </si>
  <si>
    <t>rcp_ratio</t>
  </si>
  <si>
    <t>ds_trans_inelig</t>
  </si>
  <si>
    <t>ds_inelig_state_12m</t>
  </si>
  <si>
    <t>ds_inelig_cot_12m</t>
  </si>
  <si>
    <t>ds_inelig_cont_12m</t>
  </si>
  <si>
    <t>ds_free_goods_12m</t>
  </si>
  <si>
    <t>ds_inelig_340b_12m</t>
  </si>
  <si>
    <t>ds_elig_adj_12m</t>
  </si>
  <si>
    <t>ds_adj_elig</t>
  </si>
  <si>
    <t>ds_adj_elig_12m</t>
  </si>
  <si>
    <t>cbk_whl_inelig</t>
  </si>
  <si>
    <t>cbk_cont_inelig</t>
  </si>
  <si>
    <t>cbk_fss_inelig</t>
  </si>
  <si>
    <t>cbk_fss_inelig_12m</t>
  </si>
  <si>
    <t>cbk_state_inelig</t>
  </si>
  <si>
    <t>cbk_cot_inelig</t>
  </si>
  <si>
    <t>cbk_inelig</t>
  </si>
  <si>
    <t>cbk_elig</t>
  </si>
  <si>
    <t>indir_inelig_12m</t>
  </si>
  <si>
    <t>_annual_weighted_wac</t>
  </si>
  <si>
    <t>cbk_inelig_12m</t>
  </si>
  <si>
    <t>reb_inelig</t>
  </si>
  <si>
    <t>reb_bfsf_elig</t>
  </si>
  <si>
    <t>reb_fee_elig</t>
  </si>
  <si>
    <t>reb_elig</t>
  </si>
  <si>
    <t>reb_elig_12m</t>
  </si>
  <si>
    <t>reb_fee_elig_12m</t>
  </si>
  <si>
    <t>reb_fee_allocation</t>
  </si>
  <si>
    <t>amp_ndc9</t>
  </si>
  <si>
    <t>_month_end_wac</t>
  </si>
  <si>
    <t>mamp_v_wac</t>
  </si>
  <si>
    <t>mamp_calculated</t>
  </si>
  <si>
    <t>qamp</t>
  </si>
  <si>
    <t>qamp_totals</t>
  </si>
  <si>
    <t>qamp_fp</t>
  </si>
  <si>
    <t>qamp_calculated</t>
  </si>
  <si>
    <t>rqamp</t>
  </si>
  <si>
    <t>_quarter_end_wac</t>
  </si>
  <si>
    <t>NDC9</t>
  </si>
  <si>
    <t>Product Description</t>
  </si>
  <si>
    <t>Calc Period</t>
  </si>
  <si>
    <t>Calculation Type (5i/RCP)</t>
  </si>
  <si>
    <t>RCP Sales (70/30 calc)(dollars)</t>
  </si>
  <si>
    <t>RCP Sales (70/30 calc)(units)</t>
  </si>
  <si>
    <t>RCP Sales - 12 Months (70/30 Calc)(units)</t>
  </si>
  <si>
    <t>RCP Eligible Adjustments(dollars)</t>
  </si>
  <si>
    <t>RCP Eligible Adjustments(units)</t>
  </si>
  <si>
    <t>RCP Eligible Adjustments 12 months(units)</t>
  </si>
  <si>
    <t>Non RCP Chargebacks (70/30 Calc)(dollars)</t>
  </si>
  <si>
    <t>Non RCP Chargebacks (70/30 Calc)(units)</t>
  </si>
  <si>
    <t>Non RCP Chargebacks - 12 Months (70/30 Calc)(units)</t>
  </si>
  <si>
    <t>Gross Sales (70/30 Calc)(dollars)</t>
  </si>
  <si>
    <t>Gross Sales (70/30 Calc)(units)</t>
  </si>
  <si>
    <t>Gross Sales - 12 Months (70/30 Calc)(units)</t>
  </si>
  <si>
    <t>Net RCP Sales (70/30 Calc)(units)</t>
  </si>
  <si>
    <t>RCP 70/30 Calc Ratio(units)</t>
  </si>
  <si>
    <t>Direct Sales Ineligible Transactions(dollars)</t>
  </si>
  <si>
    <t>Direct Sales Ineligible Transactions(units)</t>
  </si>
  <si>
    <t>Gross Sales(dollars)</t>
  </si>
  <si>
    <t>Gross Sales(units)</t>
  </si>
  <si>
    <t>Direct Sales Ineligible State(dollars)</t>
  </si>
  <si>
    <t>Direct Sales Ineligible State(units)</t>
  </si>
  <si>
    <t>Direct Sales Ineligible COT(dollars)</t>
  </si>
  <si>
    <t>Direct Sales Ineligible COT(units)</t>
  </si>
  <si>
    <t>Direct Sales Ineligible Contract(dollars)</t>
  </si>
  <si>
    <t>Direct Sales Ineligible Contract(units)</t>
  </si>
  <si>
    <t>Free Goods(dollars)</t>
  </si>
  <si>
    <t>Free Goods(units)</t>
  </si>
  <si>
    <t>RHAP Sales(dollars)</t>
  </si>
  <si>
    <t>RHAP Sales(units)</t>
  </si>
  <si>
    <t>Direct Sales Ineligible State - 12 Months(dollars)</t>
  </si>
  <si>
    <t>Direct Sales Ineligible State - 12 Months(units)</t>
  </si>
  <si>
    <t>Direct Sales Ineligible COT - 12 Months(dollars)</t>
  </si>
  <si>
    <t>Direct Sales Ineligible COT - 12 Months(units)</t>
  </si>
  <si>
    <t>Direct Sales Ineligible Contract - 12 Months(dollars)</t>
  </si>
  <si>
    <t>Direct Sales Ineligible Contract - 12 Months(units)</t>
  </si>
  <si>
    <t>Free Goods - 12 Months(dollars)</t>
  </si>
  <si>
    <t>Free Goods - 12 Months(units)</t>
  </si>
  <si>
    <t>RHAP Sales - 12 Months(dollars)</t>
  </si>
  <si>
    <t>RHAP Sales - 12 Months(units)</t>
  </si>
  <si>
    <t>Eligible Direct Sales(dollars)</t>
  </si>
  <si>
    <t>Eligible Direct Sales(units)</t>
  </si>
  <si>
    <t>Direct Sales Eligible Adjustments(dollars)</t>
  </si>
  <si>
    <t>Direct Sales Eligible Adjustments(units)</t>
  </si>
  <si>
    <t>Direct Sales Eligible Adjustments - 12 Months(dollars)</t>
  </si>
  <si>
    <t>Direct Sales Eligible Adjustments - 12 Months(units)</t>
  </si>
  <si>
    <t>Eligible Adjusted Direct Sales(dollars)</t>
  </si>
  <si>
    <t>Eligible Adjusted Direct Sales(units)</t>
  </si>
  <si>
    <t>Eligible Adjusted Direct Sales - 12 Months(dollars)</t>
  </si>
  <si>
    <t>Eligible Adjusted Direct Sales - 12 Months(units)</t>
  </si>
  <si>
    <t>Ineligible Indirect Sales - non-domestic whl(dollars)</t>
  </si>
  <si>
    <t>Ineligible Indirect Sales - non-domestic whl(units)</t>
  </si>
  <si>
    <t>Ineligible Indirect Sales - Contract(dollars)</t>
  </si>
  <si>
    <t>Ineligible Indirect Sales - Contract(units)</t>
  </si>
  <si>
    <t>Ineligible Indirect Sales - Contract - 12 Months(dollars)</t>
  </si>
  <si>
    <t>Ineligible Indirect Sales - Contract - 12 Months(units)</t>
  </si>
  <si>
    <t>Ineligible Indirect Sales -FSS Contract(dollars)</t>
  </si>
  <si>
    <t>Ineligible Indirect Sales -FSS Contract(units)</t>
  </si>
  <si>
    <t>Ineligible Indirect Sales - FSS Contract - 12 Months(units)</t>
  </si>
  <si>
    <t>Ineligible Indirect Sales - State(dollars)</t>
  </si>
  <si>
    <t>Ineligible Indirect Sales - State(units)</t>
  </si>
  <si>
    <t>Ineligible Indirect Sales - State - 12 Months(dollars)</t>
  </si>
  <si>
    <t>Ineligible Indirect Sales - State - 12 Months(units)</t>
  </si>
  <si>
    <t>Ineligible Indirect Sales - COT(dollars)</t>
  </si>
  <si>
    <t>Ineligible Indirect Sales - COT(units)</t>
  </si>
  <si>
    <t>Ineligible Indirect Sales - COT - 12 Months(dollars)</t>
  </si>
  <si>
    <t>Ineligible Indirect Sales - COT - 12 Months(units)</t>
  </si>
  <si>
    <t>Ineligible Indirect Sales(dollars)</t>
  </si>
  <si>
    <t>Ineligible Indirect Sales(units)</t>
  </si>
  <si>
    <t>Average Direct Sales Price(dollars)</t>
  </si>
  <si>
    <t>Ineligible Indirect Sales Ratio(units)</t>
  </si>
  <si>
    <t>Smoothed Ineligible Indirect Sales(dollars)</t>
  </si>
  <si>
    <t>Smoothed Ineligible Indirect Sales(units)</t>
  </si>
  <si>
    <t>Eligible AMP Sales(dollars)</t>
  </si>
  <si>
    <t>Eligible AMP Sales(units)</t>
  </si>
  <si>
    <t>AMP Eligible Chargebacks(dollars)</t>
  </si>
  <si>
    <t>AMP Eligible Chargebacks(units)</t>
  </si>
  <si>
    <t>AMP Eligible Chargebacks - 12 Months(dollars)</t>
  </si>
  <si>
    <t>Eligible Direct Sales - 12 Months(dollars)</t>
  </si>
  <si>
    <t>Eligible Direct Sales - 12 Months(units)</t>
  </si>
  <si>
    <t>Ineligible Indirect Sales - 12 Months(dollars)</t>
  </si>
  <si>
    <t>Ineligible Indirect Sales - 12 Months(units)</t>
  </si>
  <si>
    <t>Annual Weighted WAC(dollars)</t>
  </si>
  <si>
    <t>Ineligible CBK Sales - 12 Months(dollars)</t>
  </si>
  <si>
    <t>Ineligible CBK Sales - 12 Months(units)</t>
  </si>
  <si>
    <t>Eligible AMP Sales - 12 Months(dollars)</t>
  </si>
  <si>
    <t>Eligible AMP Sales - 12 Months(units)</t>
  </si>
  <si>
    <t>Ineligible Rebates - Cont, State, COT(dollars)</t>
  </si>
  <si>
    <t>Ineligible Rebates - Cont, State, COT(units)</t>
  </si>
  <si>
    <t>Eligible Bona Fide Service Fees(dollars)</t>
  </si>
  <si>
    <t>Eligible Bona Fide Service Fees(units)</t>
  </si>
  <si>
    <t>Eligible Fees(dollars)</t>
  </si>
  <si>
    <t>Eligible Fees(units)</t>
  </si>
  <si>
    <t>Eligible Rebates(dollars)</t>
  </si>
  <si>
    <t>Eligible Rebates(units)</t>
  </si>
  <si>
    <t>AMP Eligible rebates - 12 months(dollars)</t>
  </si>
  <si>
    <t>AMP Eligible Fee Rebates - 12 Months(dollars)</t>
  </si>
  <si>
    <t>Fee Allocation Ratio(units)</t>
  </si>
  <si>
    <t>Rebate Fees(dollars)</t>
  </si>
  <si>
    <t>Eligible Price Concessions - 12 Months(dollars)</t>
  </si>
  <si>
    <t>Price Concession Ratio(dollars)</t>
  </si>
  <si>
    <t>Smoothed Eligible Price Concessions(dollars)</t>
  </si>
  <si>
    <t>Non-wholesaler prompt pay - Customary(dollars)</t>
  </si>
  <si>
    <t>Eligible AMP Net Sales(dollars)</t>
  </si>
  <si>
    <t>Eligible AMP Net Sales(units)</t>
  </si>
  <si>
    <t>Calculated AMP - NDC9(dollars)</t>
  </si>
  <si>
    <t>Calculated AMP - NDC9(units)</t>
  </si>
  <si>
    <t>Month End WAC(dollars)</t>
  </si>
  <si>
    <t>Monthly AMP(dollars)</t>
  </si>
  <si>
    <t>Monthly AMP(units)</t>
  </si>
  <si>
    <t>Monthly AMP Greater Than WAC(dollars)</t>
  </si>
  <si>
    <t>Calculated Monthly AMP(dollars)</t>
  </si>
  <si>
    <t>Calculated Monthly AMP(units)</t>
  </si>
  <si>
    <t>Calculated Quarterly AMP(dollars)</t>
  </si>
  <si>
    <t>Calculated Quarterly AMP(units)</t>
  </si>
  <si>
    <t>QAMP Totals(dollars)</t>
  </si>
  <si>
    <t>QAMP Totals(units)</t>
  </si>
  <si>
    <t>QAMP False Positive Test(dollars)</t>
  </si>
  <si>
    <t>QAMP False Positive Test(units)</t>
  </si>
  <si>
    <t>Quarterly AMP(dollars)</t>
  </si>
  <si>
    <t>Quarterly AMP(units)</t>
  </si>
  <si>
    <t>Quarter End WAC(dollars)</t>
  </si>
  <si>
    <t>Unituxin (dinutuximab) for Injection, for IV Use</t>
  </si>
  <si>
    <t>REMODULIN 1.0MG/ML 20ML VIAL</t>
  </si>
  <si>
    <t>REMODULIN 2.5MG/ML 20ML VIAL</t>
  </si>
  <si>
    <t>REMODULIN 5.0MG/ML 20ML VIAL</t>
  </si>
  <si>
    <t>REMODULIN 10.0MG/ML 20ML VIAL</t>
  </si>
  <si>
    <t>TYVASO INH SOL 2.9ML 28 AMPULE STARTER KIT</t>
  </si>
  <si>
    <t>TYVASO INH SOL 2.9ML 28 AMPULE REFILL KIT</t>
  </si>
  <si>
    <t>TYVASO INH SOL 2.9ML 4 AMPULE SUPPLEMENTAL PACK</t>
  </si>
  <si>
    <t>TYVASO INH SOL 2.9ML 4 AMPULE INSTITUTIONAL STARTER KIT</t>
  </si>
  <si>
    <t>ORENITRAM TABLET EXTENDED RELEASE 0.125MG</t>
  </si>
  <si>
    <t>ORENITRAM TABLET EXTENDED RELEASE 0.25MG</t>
  </si>
  <si>
    <t>ORENITRAM TABLET EXTENDED RELEASE 1MG</t>
  </si>
  <si>
    <t>ORENITRAM TABLET EXTENDED RELEASE 2.5MG</t>
  </si>
  <si>
    <t>ORENITRAM TABLET EXTENDED RELEASE 5MG</t>
  </si>
  <si>
    <t>ADCIRCA 20MG TAB 60s</t>
  </si>
  <si>
    <t>TYVASO DPI INHALATION POWDER MAINTENANCE KIT 32 MCG</t>
  </si>
  <si>
    <t>TYVASO DPI INHALATION POWDER MAINTENANCE KIT 48 MCG</t>
  </si>
  <si>
    <t>TYVASO DPI INHALATION POWDER MAINTENANCE KIT 64 MCG</t>
  </si>
  <si>
    <t>TYVASO DPI 32 MCG CARTRIDGE BLISTER STRIP</t>
  </si>
  <si>
    <t>TYVASO DPI 48 MCG CARTRIDGE BLISTER STRIP</t>
  </si>
  <si>
    <t>TYVASO DPI 64 MCG CARTRIDGE BLISTER STRIP</t>
  </si>
  <si>
    <t>TYVASO DPI INHALATION POWDER TITRATION KIT 16MCG/32MCG</t>
  </si>
  <si>
    <t>TYVASO DPI INHALATION POWDER TITRATION KIT 16MCG/32MCG/48MCG</t>
  </si>
  <si>
    <t>TYVASO DPI INHALATION POWDER MAINTENANCE KIT 16 MCG</t>
  </si>
  <si>
    <t>TYVASO DPI 16 MCG CARTRIDGE BLISTER STRIP</t>
  </si>
  <si>
    <t>ORENITRAM TABLET EXTENDED RELEASE Titration Kit (Month 1)</t>
  </si>
  <si>
    <t>ORENITRAM TABLET EXTENDED RELEASE  Titration Kit (Month 2)</t>
  </si>
  <si>
    <t>ORENITRAM TABLET EXTENDED RELEASE Titration Kit (Month 3)</t>
  </si>
  <si>
    <t>ORENITRAM TITRATION INNER CARTON (Month 1, Week 1)</t>
  </si>
  <si>
    <t>ORENITRAM TITRATION INNER CARTON (Month 1, Week 2)</t>
  </si>
  <si>
    <t>ORENITRAM TITRATION INNER CARTON (Month 1, Week 3)</t>
  </si>
  <si>
    <t>ORENITRAM TITRATION INNER CARTON (Month 1, Week 4)</t>
  </si>
  <si>
    <t>ORENITRAM TITRATION INNER CARTON (Month 2, Week 5)</t>
  </si>
  <si>
    <t>ORENITRAM TITRATION INNER CARTON (Month 2, Week 6)</t>
  </si>
  <si>
    <t>ORENITRAM TITRATION INNER CARTON (Month 2, Week 7)</t>
  </si>
  <si>
    <t>ORENITRAM TITRATION INNER CARTON (Month 2, Week 8)</t>
  </si>
  <si>
    <t>ORENITRAM TITRATION INNER CARTON (Month 3, Week 9)</t>
  </si>
  <si>
    <t>ORENITRAM TITRATION INNER CARTON (Month 3, Week 10)</t>
  </si>
  <si>
    <t>ORENITRAM TITRATION INNER CARTON (Month 3, Week 11)</t>
  </si>
  <si>
    <t>ORENITRAM TITRATION INNER CARTON (Month 3, Week 12)</t>
  </si>
  <si>
    <t>Tyvaso DPI - Institutional Kit - 16mcg X16</t>
  </si>
  <si>
    <t>Tyvaso DPI - Institutional Kit - 32mcg X16</t>
  </si>
  <si>
    <t>Tyvaso DPI - Institutional Kit - 48mcg X16</t>
  </si>
  <si>
    <t>Tyvaso DPI - Institutional Kit - 64mcg X16</t>
  </si>
  <si>
    <t>Sterile Diluent for Remodulin</t>
  </si>
  <si>
    <t>5i</t>
  </si>
  <si>
    <t>RCP</t>
  </si>
  <si>
    <t>Icyte Dollars</t>
  </si>
  <si>
    <t>United Dollars</t>
  </si>
  <si>
    <t>Icyte Units</t>
  </si>
  <si>
    <t>United units</t>
  </si>
  <si>
    <t>United Units</t>
  </si>
  <si>
    <t>Icyte Dollar</t>
  </si>
  <si>
    <t>United Dollar</t>
  </si>
  <si>
    <t>Icyte Ratio</t>
  </si>
  <si>
    <t>United Ratio</t>
  </si>
  <si>
    <t>2024-07</t>
  </si>
  <si>
    <t>2024-06</t>
  </si>
  <si>
    <t>12-Month Total Ineligible Cot</t>
  </si>
  <si>
    <t>12-Month Total Ineligible State</t>
  </si>
  <si>
    <t>12-Month Total Ineligible Contract</t>
  </si>
  <si>
    <t>Cur. Avg Direct Price</t>
  </si>
  <si>
    <t>Smoothed Indirect $</t>
  </si>
  <si>
    <t>0.000000%</t>
  </si>
  <si>
    <t>0.555556%</t>
  </si>
  <si>
    <t>0.152791%</t>
  </si>
  <si>
    <t>3.324530%</t>
  </si>
  <si>
    <t>0.998053%</t>
  </si>
  <si>
    <t>3.188900%</t>
  </si>
  <si>
    <t>0.914591%</t>
  </si>
  <si>
    <t>3.075885%</t>
  </si>
  <si>
    <t>0.739013%</t>
  </si>
  <si>
    <t>4.163795%</t>
  </si>
  <si>
    <t>66302011006</t>
  </si>
  <si>
    <t>66302011007</t>
  </si>
  <si>
    <t>66302011008</t>
  </si>
  <si>
    <t>66302011009</t>
  </si>
  <si>
    <t>66302011010</t>
  </si>
  <si>
    <t>66302011011</t>
  </si>
  <si>
    <t>66302011012</t>
  </si>
  <si>
    <t>66302011013</t>
  </si>
  <si>
    <t>66302011014</t>
  </si>
  <si>
    <t>66302011015</t>
  </si>
  <si>
    <t>66302011016</t>
  </si>
  <si>
    <t>66302011017</t>
  </si>
  <si>
    <t>66302011018</t>
  </si>
  <si>
    <t>66302011019</t>
  </si>
  <si>
    <t>66302011020</t>
  </si>
  <si>
    <t>66302011021</t>
  </si>
  <si>
    <t>66302011022</t>
  </si>
  <si>
    <t>66302011023</t>
  </si>
  <si>
    <t>66302011024</t>
  </si>
  <si>
    <t>66302011025</t>
  </si>
  <si>
    <t>66302011026</t>
  </si>
  <si>
    <t>66302011027</t>
  </si>
  <si>
    <t>66302011028</t>
  </si>
  <si>
    <t>66302011029</t>
  </si>
  <si>
    <t>66302011030</t>
  </si>
  <si>
    <t>66302011031</t>
  </si>
  <si>
    <t>66302011032</t>
  </si>
  <si>
    <t>66302011033</t>
  </si>
  <si>
    <t>66302011034</t>
  </si>
  <si>
    <t>66302011035</t>
  </si>
  <si>
    <t>66302011036</t>
  </si>
  <si>
    <t>66302011037</t>
  </si>
  <si>
    <t>66302011038</t>
  </si>
  <si>
    <t>66302011039</t>
  </si>
  <si>
    <t>66302011040</t>
  </si>
  <si>
    <t>66302011041</t>
  </si>
  <si>
    <t>66302011042</t>
  </si>
  <si>
    <t>66302011043</t>
  </si>
  <si>
    <t>66302011044</t>
  </si>
  <si>
    <t>66302011045</t>
  </si>
  <si>
    <t>66302011046</t>
  </si>
  <si>
    <t>66302011047</t>
  </si>
  <si>
    <t>66302011048</t>
  </si>
  <si>
    <t>66302011049</t>
  </si>
  <si>
    <t>66302011050</t>
  </si>
  <si>
    <t>66302011051</t>
  </si>
  <si>
    <t>66302011052</t>
  </si>
  <si>
    <t>66302011053</t>
  </si>
  <si>
    <t>66302011054</t>
  </si>
  <si>
    <t>66302011055</t>
  </si>
  <si>
    <t>66302011056</t>
  </si>
  <si>
    <t>12-Month Total Eligible Prorated Price Appreciation Credit $</t>
  </si>
  <si>
    <t>Smoothing Ratio</t>
  </si>
  <si>
    <t>x Current Month Adjusted AMP Eligible Sales $</t>
  </si>
  <si>
    <t>Smoothed Eligible Price Concessions $</t>
  </si>
  <si>
    <t>$0.00</t>
  </si>
  <si>
    <t>$210,762,068.80</t>
  </si>
  <si>
    <t>$27,576,278.58</t>
  </si>
  <si>
    <t>$3,500,908.00</t>
  </si>
  <si>
    <t>$46,654,763.96</t>
  </si>
  <si>
    <t>7.503860%</t>
  </si>
  <si>
    <t>$4,412,262.82</t>
  </si>
  <si>
    <t>$331,090.01</t>
  </si>
  <si>
    <t>$4,787,741.43</t>
  </si>
  <si>
    <t>$62,647,343.99</t>
  </si>
  <si>
    <t>7.642369%</t>
  </si>
  <si>
    <t>$5,703,531.32</t>
  </si>
  <si>
    <t>$435,884.93</t>
  </si>
  <si>
    <t>$8,749,774.60</t>
  </si>
  <si>
    <t>$119,632,233.96</t>
  </si>
  <si>
    <t>7.313894%</t>
  </si>
  <si>
    <t>$11,247,077.93</t>
  </si>
  <si>
    <t>$822,599.34</t>
  </si>
  <si>
    <t>$21,287,024.94</t>
  </si>
  <si>
    <t>$301,283,746.83</t>
  </si>
  <si>
    <t>7.065441%</t>
  </si>
  <si>
    <t>$28,092,684.33</t>
  </si>
  <si>
    <t>$1,984,872.00</t>
  </si>
  <si>
    <t>$4,120,663.80</t>
  </si>
  <si>
    <t>$471,077.01</t>
  </si>
  <si>
    <t>$9,963,685.06</t>
  </si>
  <si>
    <t>$553,634,634.54</t>
  </si>
  <si>
    <t>1.799686%</t>
  </si>
  <si>
    <t>$51,563,589.32</t>
  </si>
  <si>
    <t>$927,982.70</t>
  </si>
  <si>
    <t>$37,809,390.00</t>
  </si>
  <si>
    <t>$3,260,749.89</t>
  </si>
  <si>
    <t>$2,083.40</t>
  </si>
  <si>
    <t>$3,783.01</t>
  </si>
  <si>
    <t>$1,240,579.23</t>
  </si>
  <si>
    <t>$334,189.38</t>
  </si>
  <si>
    <t>$1,828,940.80</t>
  </si>
  <si>
    <t>$72,903,356.02</t>
  </si>
  <si>
    <t>2.508720%</t>
  </si>
  <si>
    <t>$7,135,995.75</t>
  </si>
  <si>
    <t>$179,022.13</t>
  </si>
  <si>
    <t>$990,509.73</t>
  </si>
  <si>
    <t>$179,748.97</t>
  </si>
  <si>
    <t>$1,312,078.54</t>
  </si>
  <si>
    <t>$62,425,762.30</t>
  </si>
  <si>
    <t>2.101822%</t>
  </si>
  <si>
    <t>$7,468,659.88</t>
  </si>
  <si>
    <t>$156,977.95</t>
  </si>
  <si>
    <t>$1,694,807.03</t>
  </si>
  <si>
    <t>$453,725.08</t>
  </si>
  <si>
    <t>$2,506,260.44</t>
  </si>
  <si>
    <t>$97,693,256.50</t>
  </si>
  <si>
    <t>2.565439%</t>
  </si>
  <si>
    <t>$9,806,692.53</t>
  </si>
  <si>
    <t>$251,584.67</t>
  </si>
  <si>
    <t>$3,164,427.11</t>
  </si>
  <si>
    <t>$928,573.01</t>
  </si>
  <si>
    <t>$4,796,569.61</t>
  </si>
  <si>
    <t>$176,648,621.71</t>
  </si>
  <si>
    <t>2.715317%</t>
  </si>
  <si>
    <t>$17,480,252.24</t>
  </si>
  <si>
    <t>$474,644.22</t>
  </si>
  <si>
    <t>$7,569,820.09</t>
  </si>
  <si>
    <t>$2,105,149.69</t>
  </si>
  <si>
    <t>$11,179,671.99</t>
  </si>
  <si>
    <t>$460,023,833.06</t>
  </si>
  <si>
    <t>2.430238%</t>
  </si>
  <si>
    <t>$52,073,533.10</t>
  </si>
  <si>
    <t>$1,265,510.56</t>
  </si>
  <si>
    <t>$542.61</t>
  </si>
  <si>
    <t>$838.59</t>
  </si>
  <si>
    <t>$328,857.00</t>
  </si>
  <si>
    <t>0.255000%</t>
  </si>
  <si>
    <t>$65,771.40</t>
  </si>
  <si>
    <t>$167.72</t>
  </si>
  <si>
    <t>$263,085.60</t>
  </si>
  <si>
    <t>$180.87</t>
  </si>
  <si>
    <t>$279.53</t>
  </si>
  <si>
    <t>0.106250%</t>
  </si>
  <si>
    <t>$69.88</t>
  </si>
  <si>
    <t>27,730,336.00</t>
  </si>
  <si>
    <t>8,000.00</t>
  </si>
  <si>
    <t>44.44</t>
  </si>
  <si>
    <t>144.94</t>
  </si>
  <si>
    <t>27,576,278.58</t>
  </si>
  <si>
    <t>7,955.56</t>
  </si>
  <si>
    <t>551,525.57</t>
  </si>
  <si>
    <t>27,024,753.01</t>
  </si>
  <si>
    <t>4,571,218.80</t>
  </si>
  <si>
    <t>83,200.00</t>
  </si>
  <si>
    <t>54.942534</t>
  </si>
  <si>
    <t>11,400.00</t>
  </si>
  <si>
    <t>71,800.00</t>
  </si>
  <si>
    <t>109.70</t>
  </si>
  <si>
    <t>16.38</t>
  </si>
  <si>
    <t>2,387.01</t>
  </si>
  <si>
    <t>46.64</t>
  </si>
  <si>
    <t>4,412,262.82</t>
  </si>
  <si>
    <t>69,303.28</t>
  </si>
  <si>
    <t>331,090.01</t>
  </si>
  <si>
    <t>88,245.26</t>
  </si>
  <si>
    <t>3,992,927.55</t>
  </si>
  <si>
    <t>57.615273</t>
  </si>
  <si>
    <t>5,952,771.00</t>
  </si>
  <si>
    <t>43,200.00</t>
  </si>
  <si>
    <t>137.795625</t>
  </si>
  <si>
    <t>5,800.00</t>
  </si>
  <si>
    <t>373.27</t>
  </si>
  <si>
    <t>12.01</t>
  </si>
  <si>
    <t>1,192.65</t>
  </si>
  <si>
    <t>24.44</t>
  </si>
  <si>
    <t>5,703,531.32</t>
  </si>
  <si>
    <t>35,834.08</t>
  </si>
  <si>
    <t>435,884.93</t>
  </si>
  <si>
    <t>114,070.63</t>
  </si>
  <si>
    <t>5,153,575.76</t>
  </si>
  <si>
    <t>143.817723</t>
  </si>
  <si>
    <t>11,714,544.00</t>
  </si>
  <si>
    <t>43,600.00</t>
  </si>
  <si>
    <t>268.682202</t>
  </si>
  <si>
    <t>6,800.00</t>
  </si>
  <si>
    <t>36,800.00</t>
  </si>
  <si>
    <t>336.57</t>
  </si>
  <si>
    <t>33.90</t>
  </si>
  <si>
    <t>1,131.93</t>
  </si>
  <si>
    <t>11,247,077.93</t>
  </si>
  <si>
    <t>35,331.50</t>
  </si>
  <si>
    <t>822,599.34</t>
  </si>
  <si>
    <t>224,941.56</t>
  </si>
  <si>
    <t>10,199,537.03</t>
  </si>
  <si>
    <t>288.681082</t>
  </si>
  <si>
    <t>29,541,024.00</t>
  </si>
  <si>
    <t>53,000.00</t>
  </si>
  <si>
    <t>557.377811</t>
  </si>
  <si>
    <t>6,600.00</t>
  </si>
  <si>
    <t>46,400.00</t>
  </si>
  <si>
    <t>342.90</t>
  </si>
  <si>
    <t>11.14</t>
  </si>
  <si>
    <t>1,932.00</t>
  </si>
  <si>
    <t>28.14</t>
  </si>
  <si>
    <t>28,092,684.33</t>
  </si>
  <si>
    <t>44,125.10</t>
  </si>
  <si>
    <t>1,984,872.00</t>
  </si>
  <si>
    <t>561,853.69</t>
  </si>
  <si>
    <t>25,545,958.64</t>
  </si>
  <si>
    <t>578.943964</t>
  </si>
  <si>
    <t>471,856.80</t>
  </si>
  <si>
    <t>2,240,000.00</t>
  </si>
  <si>
    <t>0.210650</t>
  </si>
  <si>
    <t>372,000.00</t>
  </si>
  <si>
    <t>1,868,000.00</t>
  </si>
  <si>
    <t>3,087.04</t>
  </si>
  <si>
    <t>211.75</t>
  </si>
  <si>
    <t>471,077.01</t>
  </si>
  <si>
    <t>1,864,912.96</t>
  </si>
  <si>
    <t>9,421.54</t>
  </si>
  <si>
    <t>461,655.47</t>
  </si>
  <si>
    <t>3,731,515.20</t>
  </si>
  <si>
    <t>13,804.00</t>
  </si>
  <si>
    <t>270.321298</t>
  </si>
  <si>
    <t>812.00</t>
  </si>
  <si>
    <t>12,992.00</t>
  </si>
  <si>
    <t>646.83</t>
  </si>
  <si>
    <t>203.29</t>
  </si>
  <si>
    <t>3,487,347.78</t>
  </si>
  <si>
    <t>12,141.88</t>
  </si>
  <si>
    <t>51,563,589.32</t>
  </si>
  <si>
    <t>198,871.19</t>
  </si>
  <si>
    <t>259.281342</t>
  </si>
  <si>
    <t>927,982.70</t>
  </si>
  <si>
    <t>1,031,271.79</t>
  </si>
  <si>
    <t>49,604,334.83</t>
  </si>
  <si>
    <t>249.429465</t>
  </si>
  <si>
    <t>51,011,006.00</t>
  </si>
  <si>
    <t>230,608.00</t>
  </si>
  <si>
    <t>221.202239</t>
  </si>
  <si>
    <t>32,480.00</t>
  </si>
  <si>
    <t>198,128.00</t>
  </si>
  <si>
    <t>8,430.17</t>
  </si>
  <si>
    <t>14.25</t>
  </si>
  <si>
    <t>4,089.20</t>
  </si>
  <si>
    <t>26.05</t>
  </si>
  <si>
    <t>47,787,707.55</t>
  </si>
  <si>
    <t>185,608.63</t>
  </si>
  <si>
    <t>298,658.00</t>
  </si>
  <si>
    <t>1,160.00</t>
  </si>
  <si>
    <t>26.35</t>
  </si>
  <si>
    <t>12.97</t>
  </si>
  <si>
    <t>288,534.00</t>
  </si>
  <si>
    <t>1,120.68</t>
  </si>
  <si>
    <t>149,992.56</t>
  </si>
  <si>
    <t>22,800.00</t>
  </si>
  <si>
    <t>6.578621</t>
  </si>
  <si>
    <t>21,600.00</t>
  </si>
  <si>
    <t>1,200.00</t>
  </si>
  <si>
    <t>1,733,160.00</t>
  </si>
  <si>
    <t>142,200.00</t>
  </si>
  <si>
    <t>12.188186</t>
  </si>
  <si>
    <t>124,800.00</t>
  </si>
  <si>
    <t>17,400.00</t>
  </si>
  <si>
    <t>9,332,618.40</t>
  </si>
  <si>
    <t>184,800.00</t>
  </si>
  <si>
    <t>50.501182</t>
  </si>
  <si>
    <t>168,000.00</t>
  </si>
  <si>
    <t>16,800.00</t>
  </si>
  <si>
    <t>9,499,296.24</t>
  </si>
  <si>
    <t>73,500.00</t>
  </si>
  <si>
    <t>129.242126</t>
  </si>
  <si>
    <t>5,100.00</t>
  </si>
  <si>
    <t>25,998,055.20</t>
  </si>
  <si>
    <t>105,600.00</t>
  </si>
  <si>
    <t>246.193705</t>
  </si>
  <si>
    <t>93,600.00</t>
  </si>
  <si>
    <t>4,441,050.00</t>
  </si>
  <si>
    <t>84,120.00</t>
  </si>
  <si>
    <t>52.794223</t>
  </si>
  <si>
    <t>20,220.00</t>
  </si>
  <si>
    <t>63,900.00</t>
  </si>
  <si>
    <t>16,951.69</t>
  </si>
  <si>
    <t>31.05</t>
  </si>
  <si>
    <t>51.16</t>
  </si>
  <si>
    <t>3,260,749.89</t>
  </si>
  <si>
    <t>46,917.26</t>
  </si>
  <si>
    <t>9,202,028.00</t>
  </si>
  <si>
    <t>420.00</t>
  </si>
  <si>
    <t>21,909.590476</t>
  </si>
  <si>
    <t>400.00</t>
  </si>
  <si>
    <t>79.23</t>
  </si>
  <si>
    <t>218.45</t>
  </si>
  <si>
    <t>10.58</t>
  </si>
  <si>
    <t>39.37</t>
  </si>
  <si>
    <t>7,135,995.75</t>
  </si>
  <si>
    <t>310.19</t>
  </si>
  <si>
    <t>179,022.13</t>
  </si>
  <si>
    <t>142,719.92</t>
  </si>
  <si>
    <t>6,814,253.71</t>
  </si>
  <si>
    <t>21,967.835895</t>
  </si>
  <si>
    <t>7,468,659.88</t>
  </si>
  <si>
    <t>324.65</t>
  </si>
  <si>
    <t>156,977.95</t>
  </si>
  <si>
    <t>149,373.20</t>
  </si>
  <si>
    <t>7,162,308.73</t>
  </si>
  <si>
    <t>22,061.442930</t>
  </si>
  <si>
    <t>22,061.442929</t>
  </si>
  <si>
    <t>7,821,723.80</t>
  </si>
  <si>
    <t>19,554.309500</t>
  </si>
  <si>
    <t>60.00</t>
  </si>
  <si>
    <t>340.00</t>
  </si>
  <si>
    <t>3.78</t>
  </si>
  <si>
    <t>18.44</t>
  </si>
  <si>
    <t>11.57</t>
  </si>
  <si>
    <t>39.19</t>
  </si>
  <si>
    <t>9,806,692.53</t>
  </si>
  <si>
    <t>426.28</t>
  </si>
  <si>
    <t>251,584.67</t>
  </si>
  <si>
    <t>196,133.85</t>
  </si>
  <si>
    <t>9,358,974.02</t>
  </si>
  <si>
    <t>21,954.787671</t>
  </si>
  <si>
    <t>14,033,092.70</t>
  </si>
  <si>
    <t>690.00</t>
  </si>
  <si>
    <t>20,337.815507</t>
  </si>
  <si>
    <t>80.00</t>
  </si>
  <si>
    <t>610.00</t>
  </si>
  <si>
    <t>152.52</t>
  </si>
  <si>
    <t>30.24</t>
  </si>
  <si>
    <t>31.19</t>
  </si>
  <si>
    <t>45.41</t>
  </si>
  <si>
    <t>17,480,252.24</t>
  </si>
  <si>
    <t>759.84</t>
  </si>
  <si>
    <t>474,644.22</t>
  </si>
  <si>
    <t>349,605.04</t>
  </si>
  <si>
    <t>16,656,002.98</t>
  </si>
  <si>
    <t>21,920.308081</t>
  </si>
  <si>
    <t>27,376,033.30</t>
  </si>
  <si>
    <t>1,370.00</t>
  </si>
  <si>
    <t>19,982.506058</t>
  </si>
  <si>
    <t>180.00</t>
  </si>
  <si>
    <t>1,190.00</t>
  </si>
  <si>
    <t>380.36</t>
  </si>
  <si>
    <t>2.68</t>
  </si>
  <si>
    <t>49.80</t>
  </si>
  <si>
    <t>24.99</t>
  </si>
  <si>
    <t>52,073,533.10</t>
  </si>
  <si>
    <t>2,263.57</t>
  </si>
  <si>
    <t>1,265,510.56</t>
  </si>
  <si>
    <t>1,041,470.66</t>
  </si>
  <si>
    <t>49,766,551.88</t>
  </si>
  <si>
    <t>21,985.890747</t>
  </si>
  <si>
    <t>57,742,725.70</t>
  </si>
  <si>
    <t>2,910.00</t>
  </si>
  <si>
    <t>19,842.861065</t>
  </si>
  <si>
    <t>2,510.00</t>
  </si>
  <si>
    <t>177.69</t>
  </si>
  <si>
    <t>139.89</t>
  </si>
  <si>
    <t>68.74</t>
  </si>
  <si>
    <t>33.60</t>
  </si>
  <si>
    <t>65,771.40</t>
  </si>
  <si>
    <t>3,288.570000</t>
  </si>
  <si>
    <t>167.72</t>
  </si>
  <si>
    <t>1,315.43</t>
  </si>
  <si>
    <t>64,288.25</t>
  </si>
  <si>
    <t>3,214.412747</t>
  </si>
  <si>
    <t>3,214.412746</t>
  </si>
  <si>
    <t>64,455.97</t>
  </si>
  <si>
    <t>69.88</t>
  </si>
  <si>
    <t>64,386.09</t>
  </si>
  <si>
    <t>3,219.304494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</si>
</sst>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%"/>
    <numFmt numFmtId="165" formatCode="0.000"/>
    <numFmt numFmtId="166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3" borderId="1" xfId="0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0" fontId="1" fillId="2" borderId="0" xfId="0" applyFont="1" applyFill="1" applyAlignment="1">
      <alignment horizontal="left" vertical="center" wrapText="1"/>
    </xf>
    <xf numFmtId="164" fontId="1" fillId="2" borderId="1" xfId="0" applyNumberFormat="1" applyFont="1" applyFill="1" applyBorder="1" applyAlignment="1">
      <alignment vertical="top" wrapText="1"/>
    </xf>
    <xf numFmtId="2" fontId="0" fillId="3" borderId="1" xfId="0" applyNumberFormat="1" applyFill="1" applyBorder="1"/>
    <xf numFmtId="2" fontId="1" fillId="2" borderId="1" xfId="0" applyNumberFormat="1" applyFont="1" applyFill="1" applyBorder="1" applyAlignment="1">
      <alignment vertical="top" wrapText="1"/>
    </xf>
    <xf numFmtId="2" fontId="0" fillId="0" borderId="1" xfId="0" applyNumberFormat="1" applyBorder="1"/>
    <xf numFmtId="165" fontId="0" fillId="0" borderId="0" xfId="0" applyNumberFormat="1"/>
    <xf numFmtId="165" fontId="0" fillId="3" borderId="1" xfId="0" applyNumberFormat="1" applyFill="1" applyBorder="1"/>
    <xf numFmtId="165" fontId="1" fillId="2" borderId="1" xfId="0" applyNumberFormat="1" applyFont="1" applyFill="1" applyBorder="1" applyAlignment="1">
      <alignment vertical="top" wrapText="1"/>
    </xf>
    <xf numFmtId="165" fontId="0" fillId="0" borderId="1" xfId="0" applyNumberFormat="1" applyBorder="1"/>
    <xf numFmtId="166" fontId="0" fillId="0" borderId="0" xfId="0" applyNumberFormat="1"/>
    <xf numFmtId="166" fontId="0" fillId="3" borderId="1" xfId="0" applyNumberFormat="1" applyFill="1" applyBorder="1"/>
    <xf numFmtId="166" fontId="1" fillId="2" borderId="1" xfId="0" applyNumberFormat="1" applyFont="1" applyFill="1" applyBorder="1" applyAlignment="1">
      <alignment vertical="top" wrapText="1"/>
    </xf>
    <xf numFmtId="166" fontId="0" fillId="0" borderId="1" xfId="0" applyNumberForma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marash\Downloads\United%20Therapeutics%20202407%20AMP%20Report%20(2024_07%207945)%20(2).xlsm" TargetMode="External"/><Relationship Id="rId1" Type="http://schemas.openxmlformats.org/officeDocument/2006/relationships/externalLinkPath" Target="United%20Therapeutics%20202407%20AMP%20Report%20(2024_07%207945)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AMP MONTHLY SUMMARY"/>
      <sheetName val="AMP QUARTERLY SUMMARY"/>
      <sheetName val="MAMP All Components"/>
      <sheetName val="Product Master"/>
      <sheetName val="NDCS"/>
      <sheetName val="PERIODS"/>
      <sheetName val="BUCKETS"/>
      <sheetName val="Prior Delivered Buckets"/>
      <sheetName val="United Therapeutics 202407 AMP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6"/>
  <sheetViews>
    <sheetView workbookViewId="0">
      <selection activeCell="A2" sqref="A2:B18"/>
    </sheetView>
  </sheetViews>
  <sheetFormatPr defaultRowHeight="14.5" x14ac:dyDescent="0.35"/>
  <cols>
    <col min="1" max="1" width="22.08984375" customWidth="1"/>
    <col min="2" max="2" width="67.54296875" customWidth="1"/>
    <col min="3" max="3" width="20.90625" bestFit="1" customWidth="1"/>
    <col min="4" max="4" width="188.81640625" bestFit="1" customWidth="1"/>
    <col min="5" max="5" width="5.90625" bestFit="1" customWidth="1"/>
    <col min="6" max="6" width="8.81640625" bestFit="1" customWidth="1"/>
  </cols>
  <sheetData>
    <row r="1" spans="1:5" x14ac:dyDescent="0.35">
      <c r="A1" s="1" t="s">
        <v>0</v>
      </c>
      <c r="B1" s="14" t="s">
        <v>1</v>
      </c>
    </row>
    <row r="2" spans="1:5" x14ac:dyDescent="0.35">
      <c r="A2" s="2" t="s">
        <v>2</v>
      </c>
      <c r="B2" s="2" t="s">
        <v>3</v>
      </c>
      <c r="C2" t="s">
        <v>2</v>
      </c>
      <c r="D2" t="s">
        <v>3</v>
      </c>
      <c r="E2" t="s">
        <v>52</v>
      </c>
    </row>
    <row r="3" spans="1:5" x14ac:dyDescent="0.35">
      <c r="A3" s="2" t="s">
        <v>4</v>
      </c>
      <c r="B3" s="2" t="s">
        <v>5</v>
      </c>
      <c r="C3" t="s">
        <v>4</v>
      </c>
      <c r="D3" t="s">
        <v>5</v>
      </c>
      <c r="E3" t="s">
        <v>52</v>
      </c>
    </row>
    <row r="4" spans="1:5" x14ac:dyDescent="0.35">
      <c r="A4" s="2" t="s">
        <v>6</v>
      </c>
      <c r="B4" s="2" t="s">
        <v>7</v>
      </c>
      <c r="C4" t="s">
        <v>6</v>
      </c>
      <c r="D4" t="s">
        <v>7</v>
      </c>
      <c r="E4" t="s">
        <v>52</v>
      </c>
    </row>
    <row r="5" spans="1:5" x14ac:dyDescent="0.35">
      <c r="A5" s="2" t="s">
        <v>8</v>
      </c>
      <c r="B5" s="2" t="s">
        <v>9</v>
      </c>
      <c r="C5" t="s">
        <v>8</v>
      </c>
      <c r="D5" t="s">
        <v>9</v>
      </c>
      <c r="E5" t="s">
        <v>52</v>
      </c>
    </row>
    <row r="6" spans="1:5" x14ac:dyDescent="0.35">
      <c r="A6" s="2" t="s">
        <v>10</v>
      </c>
      <c r="B6" s="2" t="s">
        <v>11</v>
      </c>
      <c r="C6" t="s">
        <v>10</v>
      </c>
      <c r="D6" t="s">
        <v>11</v>
      </c>
      <c r="E6" t="s">
        <v>52</v>
      </c>
    </row>
    <row r="7" spans="1:5" x14ac:dyDescent="0.35">
      <c r="A7" s="2" t="s">
        <v>12</v>
      </c>
      <c r="B7" s="2" t="s">
        <v>13</v>
      </c>
      <c r="C7" t="s">
        <v>12</v>
      </c>
      <c r="D7" t="s">
        <v>13</v>
      </c>
      <c r="E7" t="s">
        <v>52</v>
      </c>
    </row>
    <row r="8" spans="1:5" x14ac:dyDescent="0.35">
      <c r="A8" s="2" t="s">
        <v>14</v>
      </c>
      <c r="B8" s="2" t="s">
        <v>15</v>
      </c>
      <c r="C8" t="s">
        <v>14</v>
      </c>
      <c r="D8" t="s">
        <v>15</v>
      </c>
      <c r="E8" t="s">
        <v>52</v>
      </c>
    </row>
    <row r="9" spans="1:5" x14ac:dyDescent="0.35">
      <c r="A9" s="2" t="s">
        <v>16</v>
      </c>
      <c r="B9" s="2" t="s">
        <v>17</v>
      </c>
      <c r="C9" t="s">
        <v>16</v>
      </c>
      <c r="D9" t="s">
        <v>17</v>
      </c>
      <c r="E9" t="s">
        <v>52</v>
      </c>
    </row>
    <row r="10" spans="1:5" x14ac:dyDescent="0.35">
      <c r="A10" s="2" t="s">
        <v>18</v>
      </c>
      <c r="B10" s="3" t="s">
        <v>19</v>
      </c>
      <c r="C10" t="s">
        <v>18</v>
      </c>
      <c r="D10" t="s">
        <v>19</v>
      </c>
      <c r="E10" t="s">
        <v>52</v>
      </c>
    </row>
    <row r="11" spans="1:5" x14ac:dyDescent="0.35">
      <c r="A11" s="2" t="s">
        <v>20</v>
      </c>
      <c r="B11" s="3" t="s">
        <v>21</v>
      </c>
      <c r="C11" t="s">
        <v>20</v>
      </c>
      <c r="D11" t="s">
        <v>21</v>
      </c>
      <c r="E11" t="s">
        <v>52</v>
      </c>
    </row>
    <row r="12" spans="1:5" x14ac:dyDescent="0.35">
      <c r="A12" s="2" t="s">
        <v>22</v>
      </c>
      <c r="B12" s="3" t="s">
        <v>23</v>
      </c>
      <c r="C12" t="s">
        <v>22</v>
      </c>
      <c r="D12" t="s">
        <v>23</v>
      </c>
      <c r="E12" t="s">
        <v>52</v>
      </c>
    </row>
    <row r="13" spans="1:5" x14ac:dyDescent="0.35">
      <c r="A13" s="2" t="s">
        <v>24</v>
      </c>
      <c r="B13" s="3" t="s">
        <v>25</v>
      </c>
      <c r="C13" t="s">
        <v>24</v>
      </c>
      <c r="D13" t="s">
        <v>25</v>
      </c>
      <c r="E13" t="s">
        <v>52</v>
      </c>
    </row>
    <row r="14" spans="1:5" ht="29" x14ac:dyDescent="0.35">
      <c r="A14" s="2" t="s">
        <v>26</v>
      </c>
      <c r="B14" s="3" t="s">
        <v>27</v>
      </c>
      <c r="C14" t="s">
        <v>26</v>
      </c>
      <c r="D14" t="s">
        <v>27</v>
      </c>
      <c r="E14" t="s">
        <v>52</v>
      </c>
    </row>
    <row r="15" spans="1:5" ht="72.5" x14ac:dyDescent="0.35">
      <c r="A15" s="2" t="s">
        <v>28</v>
      </c>
      <c r="B15" s="4" t="s">
        <v>29</v>
      </c>
      <c r="C15" t="s">
        <v>28</v>
      </c>
      <c r="D15" t="s">
        <v>29</v>
      </c>
      <c r="E15" t="s">
        <v>52</v>
      </c>
    </row>
    <row r="16" spans="1:5" x14ac:dyDescent="0.35">
      <c r="A16" s="2" t="s">
        <v>30</v>
      </c>
      <c r="B16" s="2" t="s">
        <v>31</v>
      </c>
      <c r="C16" t="s">
        <v>30</v>
      </c>
      <c r="D16" t="s">
        <v>31</v>
      </c>
      <c r="E16" t="s">
        <v>52</v>
      </c>
    </row>
    <row r="17" spans="1:5" x14ac:dyDescent="0.35">
      <c r="A17" s="2" t="s">
        <v>32</v>
      </c>
      <c r="B17" s="3" t="s">
        <v>33</v>
      </c>
      <c r="C17" t="s">
        <v>32</v>
      </c>
      <c r="D17" t="s">
        <v>33</v>
      </c>
      <c r="E17" t="s">
        <v>52</v>
      </c>
    </row>
    <row r="18" spans="1:5" x14ac:dyDescent="0.35">
      <c r="A18" s="2" t="s">
        <v>34</v>
      </c>
      <c r="B18" s="3" t="s">
        <v>35</v>
      </c>
      <c r="C18" t="s">
        <v>34</v>
      </c>
      <c r="D18" t="s">
        <v>35</v>
      </c>
      <c r="E18" t="s">
        <v>52</v>
      </c>
    </row>
    <row r="19" spans="1:5" x14ac:dyDescent="0.35">
      <c r="A19" s="2" t="s">
        <v>36</v>
      </c>
      <c r="B19" s="3" t="s">
        <v>37</v>
      </c>
      <c r="C19" t="s">
        <v>36</v>
      </c>
      <c r="D19" t="s">
        <v>37</v>
      </c>
      <c r="E19" t="s">
        <v>52</v>
      </c>
    </row>
    <row r="20" spans="1:5" x14ac:dyDescent="0.35">
      <c r="A20" s="2" t="s">
        <v>38</v>
      </c>
      <c r="B20" s="3" t="s">
        <v>39</v>
      </c>
      <c r="C20" t="s">
        <v>38</v>
      </c>
      <c r="D20" t="s">
        <v>39</v>
      </c>
      <c r="E20" t="s">
        <v>52</v>
      </c>
    </row>
    <row r="21" spans="1:5" x14ac:dyDescent="0.35">
      <c r="A21" s="2" t="s">
        <v>40</v>
      </c>
      <c r="B21" s="3" t="s">
        <v>41</v>
      </c>
      <c r="C21" t="s">
        <v>40</v>
      </c>
      <c r="D21" t="s">
        <v>41</v>
      </c>
      <c r="E21" t="s">
        <v>52</v>
      </c>
    </row>
    <row r="22" spans="1:5" x14ac:dyDescent="0.35">
      <c r="A22" s="2" t="s">
        <v>42</v>
      </c>
      <c r="B22" s="3" t="s">
        <v>43</v>
      </c>
      <c r="C22" t="s">
        <v>42</v>
      </c>
      <c r="D22" t="s">
        <v>43</v>
      </c>
      <c r="E22" t="s">
        <v>52</v>
      </c>
    </row>
    <row r="23" spans="1:5" x14ac:dyDescent="0.35">
      <c r="A23" s="2" t="s">
        <v>44</v>
      </c>
      <c r="B23" s="2" t="s">
        <v>45</v>
      </c>
      <c r="C23" t="s">
        <v>44</v>
      </c>
      <c r="D23" t="s">
        <v>45</v>
      </c>
      <c r="E23" t="s">
        <v>52</v>
      </c>
    </row>
    <row r="24" spans="1:5" x14ac:dyDescent="0.35">
      <c r="A24" s="2" t="s">
        <v>46</v>
      </c>
      <c r="B24" s="2" t="s">
        <v>47</v>
      </c>
      <c r="C24" t="s">
        <v>46</v>
      </c>
      <c r="D24" t="s">
        <v>47</v>
      </c>
      <c r="E24" t="s">
        <v>52</v>
      </c>
    </row>
    <row r="25" spans="1:5" x14ac:dyDescent="0.35">
      <c r="A25" s="2" t="s">
        <v>48</v>
      </c>
      <c r="B25" s="2" t="s">
        <v>49</v>
      </c>
      <c r="C25" t="s">
        <v>48</v>
      </c>
      <c r="D25" t="s">
        <v>49</v>
      </c>
      <c r="E25" t="s">
        <v>52</v>
      </c>
    </row>
    <row r="26" spans="1:5" x14ac:dyDescent="0.35">
      <c r="A26" s="2" t="s">
        <v>50</v>
      </c>
      <c r="B26" s="2" t="s">
        <v>51</v>
      </c>
      <c r="C26" t="s">
        <v>50</v>
      </c>
      <c r="D26" t="s">
        <v>51</v>
      </c>
      <c r="E26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E5AC-7C2D-418A-8015-9FB52074B563}">
  <sheetPr codeName="Sheet2"/>
  <dimension ref="A1:BI56"/>
  <sheetViews>
    <sheetView workbookViewId="0">
      <selection activeCell="A2" sqref="A2:BI56"/>
    </sheetView>
  </sheetViews>
  <sheetFormatPr defaultRowHeight="14.5" x14ac:dyDescent="0.35"/>
  <cols>
    <col min="1" max="1" width="11.81640625" bestFit="1" customWidth="1"/>
    <col min="2" max="2" width="17.7265625" bestFit="1" customWidth="1"/>
    <col min="3" max="3" width="16.1796875" bestFit="1" customWidth="1"/>
    <col min="4" max="4" width="20.36328125" bestFit="1" customWidth="1"/>
    <col min="5" max="5" width="42.6328125" bestFit="1" customWidth="1"/>
    <col min="6" max="6" width="41.08984375" bestFit="1" customWidth="1"/>
    <col min="7" max="7" width="45.26953125" bestFit="1" customWidth="1"/>
    <col min="8" max="8" width="43.36328125" bestFit="1" customWidth="1"/>
    <col min="9" max="9" width="41.90625" bestFit="1" customWidth="1"/>
    <col min="10" max="10" width="46.08984375" bestFit="1" customWidth="1"/>
    <col min="11" max="11" width="47.26953125" bestFit="1" customWidth="1"/>
    <col min="12" max="12" width="45.81640625" bestFit="1" customWidth="1"/>
    <col min="13" max="13" width="50" bestFit="1" customWidth="1"/>
    <col min="14" max="14" width="25.90625" bestFit="1" customWidth="1"/>
    <col min="15" max="15" width="24.36328125" bestFit="1" customWidth="1"/>
    <col min="16" max="16" width="28.54296875" bestFit="1" customWidth="1"/>
    <col min="17" max="17" width="40.6328125" bestFit="1" customWidth="1"/>
    <col min="18" max="18" width="39.1796875" bestFit="1" customWidth="1"/>
    <col min="19" max="19" width="43.36328125" bestFit="1" customWidth="1"/>
    <col min="20" max="20" width="24.36328125" bestFit="1" customWidth="1"/>
    <col min="21" max="21" width="22.90625" bestFit="1" customWidth="1"/>
    <col min="22" max="22" width="27.08984375" bestFit="1" customWidth="1"/>
    <col min="23" max="23" width="42" bestFit="1" customWidth="1"/>
    <col min="24" max="24" width="40.453125" bestFit="1" customWidth="1"/>
    <col min="25" max="25" width="44.6328125" bestFit="1" customWidth="1"/>
    <col min="26" max="26" width="41" bestFit="1" customWidth="1"/>
    <col min="27" max="27" width="39.54296875" bestFit="1" customWidth="1"/>
    <col min="28" max="28" width="43.7265625" bestFit="1" customWidth="1"/>
    <col min="29" max="29" width="44.90625" bestFit="1" customWidth="1"/>
    <col min="30" max="30" width="43.453125" bestFit="1" customWidth="1"/>
    <col min="31" max="31" width="47.6328125" bestFit="1" customWidth="1"/>
    <col min="32" max="32" width="46.7265625" bestFit="1" customWidth="1"/>
    <col min="33" max="33" width="45.1796875" bestFit="1" customWidth="1"/>
    <col min="34" max="34" width="49.36328125" bestFit="1" customWidth="1"/>
    <col min="35" max="35" width="44.90625" bestFit="1" customWidth="1"/>
    <col min="36" max="36" width="43.453125" bestFit="1" customWidth="1"/>
    <col min="37" max="37" width="47.6328125" bestFit="1" customWidth="1"/>
    <col min="38" max="38" width="23.36328125" bestFit="1" customWidth="1"/>
    <col min="39" max="39" width="21.90625" bestFit="1" customWidth="1"/>
    <col min="40" max="40" width="26.08984375" bestFit="1" customWidth="1"/>
    <col min="41" max="41" width="35.7265625" bestFit="1" customWidth="1"/>
    <col min="42" max="42" width="34.26953125" bestFit="1" customWidth="1"/>
    <col min="43" max="43" width="38.453125" bestFit="1" customWidth="1"/>
    <col min="44" max="44" width="31.54296875" bestFit="1" customWidth="1"/>
    <col min="45" max="45" width="30.08984375" bestFit="1" customWidth="1"/>
    <col min="46" max="46" width="34.26953125" bestFit="1" customWidth="1"/>
    <col min="47" max="47" width="38.08984375" bestFit="1" customWidth="1"/>
    <col min="48" max="48" width="36.54296875" bestFit="1" customWidth="1"/>
    <col min="49" max="49" width="40.7265625" bestFit="1" customWidth="1"/>
    <col min="50" max="50" width="32.453125" bestFit="1" customWidth="1"/>
    <col min="51" max="51" width="31" bestFit="1" customWidth="1"/>
    <col min="52" max="52" width="35.1796875" bestFit="1" customWidth="1"/>
    <col min="53" max="53" width="30.26953125" bestFit="1" customWidth="1"/>
    <col min="54" max="54" width="28.7265625" bestFit="1" customWidth="1"/>
    <col min="55" max="55" width="32.90625" bestFit="1" customWidth="1"/>
    <col min="56" max="56" width="32.08984375" bestFit="1" customWidth="1"/>
    <col min="57" max="57" width="30.6328125" bestFit="1" customWidth="1"/>
    <col min="58" max="58" width="34.81640625" bestFit="1" customWidth="1"/>
    <col min="59" max="59" width="18.7265625" bestFit="1" customWidth="1"/>
    <col min="60" max="60" width="17.26953125" bestFit="1" customWidth="1"/>
    <col min="61" max="61" width="21.453125" bestFit="1" customWidth="1"/>
  </cols>
  <sheetData>
    <row r="1" spans="1:61" x14ac:dyDescent="0.35">
      <c r="A1" s="7" t="s">
        <v>53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  <c r="AU1" s="7" t="s">
        <v>100</v>
      </c>
      <c r="AV1" s="7" t="s">
        <v>101</v>
      </c>
      <c r="AW1" s="7" t="s">
        <v>102</v>
      </c>
      <c r="AX1" s="7" t="s">
        <v>103</v>
      </c>
      <c r="AY1" s="7" t="s">
        <v>104</v>
      </c>
      <c r="AZ1" s="7" t="s">
        <v>105</v>
      </c>
      <c r="BA1" s="7" t="s">
        <v>106</v>
      </c>
      <c r="BB1" s="7" t="s">
        <v>107</v>
      </c>
      <c r="BC1" s="7" t="s">
        <v>108</v>
      </c>
      <c r="BD1" s="7" t="s">
        <v>109</v>
      </c>
      <c r="BE1" s="7" t="s">
        <v>110</v>
      </c>
      <c r="BF1" s="7" t="s">
        <v>111</v>
      </c>
      <c r="BG1" s="7" t="s">
        <v>112</v>
      </c>
      <c r="BH1" s="7" t="s">
        <v>113</v>
      </c>
      <c r="BI1" s="7" t="s">
        <v>114</v>
      </c>
    </row>
    <row r="2" spans="1:61" x14ac:dyDescent="0.35">
      <c r="A2" t="s">
        <v>115</v>
      </c>
      <c r="B2" t="s">
        <v>629</v>
      </c>
      <c r="C2" t="s">
        <v>630</v>
      </c>
      <c r="D2" t="s">
        <v>116</v>
      </c>
      <c r="E2" t="s">
        <v>117</v>
      </c>
      <c r="F2" t="s">
        <v>117</v>
      </c>
      <c r="G2" t="s">
        <v>118</v>
      </c>
      <c r="H2" t="s">
        <v>117</v>
      </c>
      <c r="I2" t="s">
        <v>117</v>
      </c>
      <c r="J2" t="s">
        <v>118</v>
      </c>
      <c r="K2" t="s">
        <v>117</v>
      </c>
      <c r="L2" t="s">
        <v>117</v>
      </c>
      <c r="M2" t="s">
        <v>118</v>
      </c>
      <c r="N2" t="s">
        <v>117</v>
      </c>
      <c r="O2" t="s">
        <v>117</v>
      </c>
      <c r="P2" t="s">
        <v>118</v>
      </c>
      <c r="Q2" t="s">
        <v>117</v>
      </c>
      <c r="R2" t="s">
        <v>117</v>
      </c>
      <c r="S2" t="s">
        <v>118</v>
      </c>
      <c r="T2" t="s">
        <v>629</v>
      </c>
      <c r="U2" t="s">
        <v>630</v>
      </c>
      <c r="V2" t="s">
        <v>116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631</v>
      </c>
      <c r="AD2" t="s">
        <v>119</v>
      </c>
      <c r="AE2" t="s">
        <v>632</v>
      </c>
      <c r="AF2" t="s">
        <v>117</v>
      </c>
      <c r="AG2" t="s">
        <v>117</v>
      </c>
      <c r="AH2" t="s">
        <v>117</v>
      </c>
      <c r="AL2" t="s">
        <v>633</v>
      </c>
      <c r="AM2" t="s">
        <v>634</v>
      </c>
      <c r="AN2" t="s">
        <v>116</v>
      </c>
      <c r="AO2" t="s">
        <v>117</v>
      </c>
      <c r="AP2" t="s">
        <v>117</v>
      </c>
      <c r="AQ2" t="s">
        <v>118</v>
      </c>
      <c r="AR2" t="s">
        <v>633</v>
      </c>
      <c r="AS2" t="s">
        <v>634</v>
      </c>
      <c r="AT2" t="s">
        <v>116</v>
      </c>
      <c r="AU2" t="s">
        <v>633</v>
      </c>
      <c r="AV2" t="s">
        <v>634</v>
      </c>
      <c r="AW2" t="s">
        <v>116</v>
      </c>
      <c r="AX2" t="s">
        <v>117</v>
      </c>
      <c r="BA2" t="s">
        <v>635</v>
      </c>
      <c r="BD2" t="s">
        <v>636</v>
      </c>
      <c r="BE2" t="s">
        <v>634</v>
      </c>
      <c r="BF2" t="s">
        <v>120</v>
      </c>
      <c r="BG2" t="s">
        <v>120</v>
      </c>
    </row>
    <row r="3" spans="1:61" x14ac:dyDescent="0.35">
      <c r="A3" t="s">
        <v>121</v>
      </c>
      <c r="B3" t="s">
        <v>637</v>
      </c>
      <c r="C3" t="s">
        <v>638</v>
      </c>
      <c r="D3" t="s">
        <v>639</v>
      </c>
      <c r="E3" t="s">
        <v>117</v>
      </c>
      <c r="F3" t="s">
        <v>117</v>
      </c>
      <c r="G3" t="s">
        <v>118</v>
      </c>
      <c r="H3" t="s">
        <v>117</v>
      </c>
      <c r="I3" t="s">
        <v>117</v>
      </c>
      <c r="J3" t="s">
        <v>118</v>
      </c>
      <c r="K3" t="s">
        <v>117</v>
      </c>
      <c r="L3" t="s">
        <v>117</v>
      </c>
      <c r="M3" t="s">
        <v>118</v>
      </c>
      <c r="N3" t="s">
        <v>117</v>
      </c>
      <c r="O3" t="s">
        <v>640</v>
      </c>
      <c r="P3" t="s">
        <v>118</v>
      </c>
      <c r="Q3" t="s">
        <v>117</v>
      </c>
      <c r="R3" t="s">
        <v>117</v>
      </c>
      <c r="S3" t="s">
        <v>118</v>
      </c>
      <c r="T3" t="s">
        <v>637</v>
      </c>
      <c r="U3" t="s">
        <v>641</v>
      </c>
      <c r="V3" t="s">
        <v>122</v>
      </c>
      <c r="W3" t="s">
        <v>117</v>
      </c>
      <c r="X3" t="s">
        <v>117</v>
      </c>
      <c r="Y3" t="s">
        <v>117</v>
      </c>
      <c r="Z3" t="s">
        <v>642</v>
      </c>
      <c r="AA3" t="s">
        <v>123</v>
      </c>
      <c r="AB3" t="s">
        <v>643</v>
      </c>
      <c r="AC3" t="s">
        <v>644</v>
      </c>
      <c r="AD3" t="s">
        <v>124</v>
      </c>
      <c r="AE3" t="s">
        <v>645</v>
      </c>
      <c r="AF3" t="s">
        <v>117</v>
      </c>
      <c r="AG3" t="s">
        <v>117</v>
      </c>
      <c r="AH3" t="s">
        <v>117</v>
      </c>
      <c r="AL3" t="s">
        <v>646</v>
      </c>
      <c r="AM3" t="s">
        <v>647</v>
      </c>
      <c r="AN3" t="s">
        <v>122</v>
      </c>
      <c r="AO3" t="s">
        <v>117</v>
      </c>
      <c r="AP3" t="s">
        <v>117</v>
      </c>
      <c r="AQ3" t="s">
        <v>118</v>
      </c>
      <c r="AR3" t="s">
        <v>646</v>
      </c>
      <c r="AS3" t="s">
        <v>647</v>
      </c>
      <c r="AT3" t="s">
        <v>122</v>
      </c>
      <c r="AU3" t="s">
        <v>646</v>
      </c>
      <c r="AV3" t="s">
        <v>647</v>
      </c>
      <c r="AW3" t="s">
        <v>122</v>
      </c>
      <c r="AX3" t="s">
        <v>648</v>
      </c>
      <c r="BA3" t="s">
        <v>649</v>
      </c>
      <c r="BD3" t="s">
        <v>650</v>
      </c>
      <c r="BE3" t="s">
        <v>647</v>
      </c>
      <c r="BF3" t="s">
        <v>651</v>
      </c>
      <c r="BG3" t="s">
        <v>651</v>
      </c>
    </row>
    <row r="4" spans="1:61" x14ac:dyDescent="0.35">
      <c r="A4" t="s">
        <v>125</v>
      </c>
      <c r="B4" t="s">
        <v>652</v>
      </c>
      <c r="C4" t="s">
        <v>653</v>
      </c>
      <c r="D4" t="s">
        <v>654</v>
      </c>
      <c r="E4" t="s">
        <v>117</v>
      </c>
      <c r="F4" t="s">
        <v>117</v>
      </c>
      <c r="G4" t="s">
        <v>118</v>
      </c>
      <c r="H4" t="s">
        <v>117</v>
      </c>
      <c r="I4" t="s">
        <v>117</v>
      </c>
      <c r="J4" t="s">
        <v>118</v>
      </c>
      <c r="K4" t="s">
        <v>117</v>
      </c>
      <c r="L4" t="s">
        <v>117</v>
      </c>
      <c r="M4" t="s">
        <v>118</v>
      </c>
      <c r="N4" t="s">
        <v>117</v>
      </c>
      <c r="O4" t="s">
        <v>655</v>
      </c>
      <c r="P4" t="s">
        <v>118</v>
      </c>
      <c r="Q4" t="s">
        <v>117</v>
      </c>
      <c r="R4" t="s">
        <v>117</v>
      </c>
      <c r="S4" t="s">
        <v>118</v>
      </c>
      <c r="T4" t="s">
        <v>652</v>
      </c>
      <c r="U4" t="s">
        <v>134</v>
      </c>
      <c r="V4" t="s">
        <v>126</v>
      </c>
      <c r="W4" t="s">
        <v>117</v>
      </c>
      <c r="X4" t="s">
        <v>117</v>
      </c>
      <c r="Y4" t="s">
        <v>117</v>
      </c>
      <c r="Z4" t="s">
        <v>656</v>
      </c>
      <c r="AA4" t="s">
        <v>127</v>
      </c>
      <c r="AB4" t="s">
        <v>657</v>
      </c>
      <c r="AC4" t="s">
        <v>658</v>
      </c>
      <c r="AD4" t="s">
        <v>128</v>
      </c>
      <c r="AE4" t="s">
        <v>659</v>
      </c>
      <c r="AF4" t="s">
        <v>117</v>
      </c>
      <c r="AG4" t="s">
        <v>117</v>
      </c>
      <c r="AH4" t="s">
        <v>117</v>
      </c>
      <c r="AL4" t="s">
        <v>660</v>
      </c>
      <c r="AM4" t="s">
        <v>661</v>
      </c>
      <c r="AN4" t="s">
        <v>126</v>
      </c>
      <c r="AO4" t="s">
        <v>117</v>
      </c>
      <c r="AP4" t="s">
        <v>117</v>
      </c>
      <c r="AQ4" t="s">
        <v>118</v>
      </c>
      <c r="AR4" t="s">
        <v>660</v>
      </c>
      <c r="AS4" t="s">
        <v>661</v>
      </c>
      <c r="AT4" t="s">
        <v>126</v>
      </c>
      <c r="AU4" t="s">
        <v>660</v>
      </c>
      <c r="AV4" t="s">
        <v>661</v>
      </c>
      <c r="AW4" t="s">
        <v>126</v>
      </c>
      <c r="AX4" t="s">
        <v>662</v>
      </c>
      <c r="BA4" t="s">
        <v>663</v>
      </c>
      <c r="BD4" t="s">
        <v>664</v>
      </c>
      <c r="BE4" t="s">
        <v>661</v>
      </c>
      <c r="BF4" t="s">
        <v>665</v>
      </c>
      <c r="BG4" t="s">
        <v>665</v>
      </c>
    </row>
    <row r="5" spans="1:61" x14ac:dyDescent="0.35">
      <c r="A5" t="s">
        <v>129</v>
      </c>
      <c r="B5" t="s">
        <v>666</v>
      </c>
      <c r="C5" t="s">
        <v>667</v>
      </c>
      <c r="D5" t="s">
        <v>668</v>
      </c>
      <c r="E5" t="s">
        <v>117</v>
      </c>
      <c r="F5" t="s">
        <v>117</v>
      </c>
      <c r="G5" t="s">
        <v>118</v>
      </c>
      <c r="H5" t="s">
        <v>117</v>
      </c>
      <c r="I5" t="s">
        <v>117</v>
      </c>
      <c r="J5" t="s">
        <v>118</v>
      </c>
      <c r="K5" t="s">
        <v>117</v>
      </c>
      <c r="L5" t="s">
        <v>117</v>
      </c>
      <c r="M5" t="s">
        <v>118</v>
      </c>
      <c r="N5" t="s">
        <v>117</v>
      </c>
      <c r="O5" t="s">
        <v>669</v>
      </c>
      <c r="P5" t="s">
        <v>118</v>
      </c>
      <c r="Q5" t="s">
        <v>117</v>
      </c>
      <c r="R5" t="s">
        <v>117</v>
      </c>
      <c r="S5" t="s">
        <v>118</v>
      </c>
      <c r="T5" t="s">
        <v>666</v>
      </c>
      <c r="U5" t="s">
        <v>670</v>
      </c>
      <c r="V5" t="s">
        <v>130</v>
      </c>
      <c r="W5" t="s">
        <v>117</v>
      </c>
      <c r="X5" t="s">
        <v>117</v>
      </c>
      <c r="Y5" t="s">
        <v>117</v>
      </c>
      <c r="Z5" t="s">
        <v>671</v>
      </c>
      <c r="AA5" t="s">
        <v>131</v>
      </c>
      <c r="AB5" t="s">
        <v>672</v>
      </c>
      <c r="AC5" t="s">
        <v>673</v>
      </c>
      <c r="AD5" t="s">
        <v>132</v>
      </c>
      <c r="AE5" t="s">
        <v>631</v>
      </c>
      <c r="AF5" t="s">
        <v>117</v>
      </c>
      <c r="AG5" t="s">
        <v>117</v>
      </c>
      <c r="AH5" t="s">
        <v>117</v>
      </c>
      <c r="AL5" t="s">
        <v>674</v>
      </c>
      <c r="AM5" t="s">
        <v>675</v>
      </c>
      <c r="AN5" t="s">
        <v>130</v>
      </c>
      <c r="AO5" t="s">
        <v>117</v>
      </c>
      <c r="AP5" t="s">
        <v>117</v>
      </c>
      <c r="AQ5" t="s">
        <v>118</v>
      </c>
      <c r="AR5" t="s">
        <v>674</v>
      </c>
      <c r="AS5" t="s">
        <v>675</v>
      </c>
      <c r="AT5" t="s">
        <v>130</v>
      </c>
      <c r="AU5" t="s">
        <v>674</v>
      </c>
      <c r="AV5" t="s">
        <v>675</v>
      </c>
      <c r="AW5" t="s">
        <v>130</v>
      </c>
      <c r="AX5" t="s">
        <v>676</v>
      </c>
      <c r="BA5" t="s">
        <v>677</v>
      </c>
      <c r="BD5" t="s">
        <v>678</v>
      </c>
      <c r="BE5" t="s">
        <v>675</v>
      </c>
      <c r="BF5" t="s">
        <v>679</v>
      </c>
      <c r="BG5" t="s">
        <v>679</v>
      </c>
    </row>
    <row r="6" spans="1:61" x14ac:dyDescent="0.35">
      <c r="A6" t="s">
        <v>133</v>
      </c>
      <c r="B6" t="s">
        <v>680</v>
      </c>
      <c r="C6" t="s">
        <v>681</v>
      </c>
      <c r="D6" t="s">
        <v>682</v>
      </c>
      <c r="E6" t="s">
        <v>117</v>
      </c>
      <c r="F6" t="s">
        <v>117</v>
      </c>
      <c r="G6" t="s">
        <v>118</v>
      </c>
      <c r="H6" t="s">
        <v>117</v>
      </c>
      <c r="I6" t="s">
        <v>117</v>
      </c>
      <c r="J6" t="s">
        <v>118</v>
      </c>
      <c r="K6" t="s">
        <v>117</v>
      </c>
      <c r="L6" t="s">
        <v>117</v>
      </c>
      <c r="M6" t="s">
        <v>118</v>
      </c>
      <c r="N6" t="s">
        <v>117</v>
      </c>
      <c r="O6" t="s">
        <v>683</v>
      </c>
      <c r="P6" t="s">
        <v>118</v>
      </c>
      <c r="Q6" t="s">
        <v>117</v>
      </c>
      <c r="R6" t="s">
        <v>117</v>
      </c>
      <c r="S6" t="s">
        <v>118</v>
      </c>
      <c r="T6" t="s">
        <v>680</v>
      </c>
      <c r="U6" t="s">
        <v>684</v>
      </c>
      <c r="V6" t="s">
        <v>135</v>
      </c>
      <c r="W6" t="s">
        <v>117</v>
      </c>
      <c r="X6" t="s">
        <v>117</v>
      </c>
      <c r="Y6" t="s">
        <v>117</v>
      </c>
      <c r="Z6" t="s">
        <v>685</v>
      </c>
      <c r="AA6" t="s">
        <v>136</v>
      </c>
      <c r="AB6" t="s">
        <v>686</v>
      </c>
      <c r="AC6" t="s">
        <v>687</v>
      </c>
      <c r="AD6" t="s">
        <v>137</v>
      </c>
      <c r="AE6" t="s">
        <v>688</v>
      </c>
      <c r="AF6" t="s">
        <v>117</v>
      </c>
      <c r="AG6" t="s">
        <v>117</v>
      </c>
      <c r="AH6" t="s">
        <v>117</v>
      </c>
      <c r="AL6" t="s">
        <v>689</v>
      </c>
      <c r="AM6" t="s">
        <v>690</v>
      </c>
      <c r="AN6" t="s">
        <v>135</v>
      </c>
      <c r="AO6" t="s">
        <v>117</v>
      </c>
      <c r="AP6" t="s">
        <v>117</v>
      </c>
      <c r="AQ6" t="s">
        <v>118</v>
      </c>
      <c r="AR6" t="s">
        <v>689</v>
      </c>
      <c r="AS6" t="s">
        <v>690</v>
      </c>
      <c r="AT6" t="s">
        <v>135</v>
      </c>
      <c r="AU6" t="s">
        <v>689</v>
      </c>
      <c r="AV6" t="s">
        <v>690</v>
      </c>
      <c r="AW6" t="s">
        <v>135</v>
      </c>
      <c r="AX6" t="s">
        <v>691</v>
      </c>
      <c r="BA6" t="s">
        <v>692</v>
      </c>
      <c r="BD6" t="s">
        <v>693</v>
      </c>
      <c r="BE6" t="s">
        <v>690</v>
      </c>
      <c r="BF6" t="s">
        <v>694</v>
      </c>
      <c r="BG6" t="s">
        <v>694</v>
      </c>
    </row>
    <row r="7" spans="1:61" x14ac:dyDescent="0.35">
      <c r="A7" t="s">
        <v>138</v>
      </c>
      <c r="B7" t="s">
        <v>695</v>
      </c>
      <c r="C7" t="s">
        <v>696</v>
      </c>
      <c r="D7" t="s">
        <v>697</v>
      </c>
      <c r="E7" t="s">
        <v>117</v>
      </c>
      <c r="F7" t="s">
        <v>117</v>
      </c>
      <c r="G7" t="s">
        <v>118</v>
      </c>
      <c r="H7" t="s">
        <v>117</v>
      </c>
      <c r="I7" t="s">
        <v>117</v>
      </c>
      <c r="J7" t="s">
        <v>118</v>
      </c>
      <c r="K7" t="s">
        <v>117</v>
      </c>
      <c r="L7" t="s">
        <v>117</v>
      </c>
      <c r="M7" t="s">
        <v>118</v>
      </c>
      <c r="N7" t="s">
        <v>117</v>
      </c>
      <c r="O7" t="s">
        <v>698</v>
      </c>
      <c r="P7" t="s">
        <v>118</v>
      </c>
      <c r="Q7" t="s">
        <v>117</v>
      </c>
      <c r="R7" t="s">
        <v>117</v>
      </c>
      <c r="S7" t="s">
        <v>118</v>
      </c>
      <c r="T7" t="s">
        <v>695</v>
      </c>
      <c r="U7" t="s">
        <v>699</v>
      </c>
      <c r="V7" t="s">
        <v>139</v>
      </c>
      <c r="W7" t="s">
        <v>117</v>
      </c>
      <c r="X7" t="s">
        <v>117</v>
      </c>
      <c r="Y7" t="s">
        <v>117</v>
      </c>
      <c r="Z7" t="s">
        <v>700</v>
      </c>
      <c r="AA7" t="s">
        <v>140</v>
      </c>
      <c r="AB7" t="s">
        <v>701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L7" t="s">
        <v>702</v>
      </c>
      <c r="AM7" t="s">
        <v>703</v>
      </c>
      <c r="AN7" t="s">
        <v>139</v>
      </c>
      <c r="AO7" t="s">
        <v>117</v>
      </c>
      <c r="AP7" t="s">
        <v>117</v>
      </c>
      <c r="AQ7" t="s">
        <v>118</v>
      </c>
      <c r="AR7" t="s">
        <v>702</v>
      </c>
      <c r="AS7" t="s">
        <v>703</v>
      </c>
      <c r="AT7" t="s">
        <v>139</v>
      </c>
      <c r="AU7" t="s">
        <v>702</v>
      </c>
      <c r="AV7" t="s">
        <v>703</v>
      </c>
      <c r="AW7" t="s">
        <v>139</v>
      </c>
      <c r="AX7" t="s">
        <v>117</v>
      </c>
      <c r="BA7" t="s">
        <v>704</v>
      </c>
      <c r="BD7" t="s">
        <v>705</v>
      </c>
      <c r="BE7" t="s">
        <v>703</v>
      </c>
      <c r="BF7" t="s">
        <v>141</v>
      </c>
      <c r="BG7" t="s">
        <v>141</v>
      </c>
    </row>
    <row r="8" spans="1:61" x14ac:dyDescent="0.35">
      <c r="A8" t="s">
        <v>142</v>
      </c>
      <c r="B8" t="s">
        <v>706</v>
      </c>
      <c r="C8" t="s">
        <v>707</v>
      </c>
      <c r="D8" t="s">
        <v>708</v>
      </c>
      <c r="E8" t="s">
        <v>117</v>
      </c>
      <c r="F8" t="s">
        <v>117</v>
      </c>
      <c r="G8" t="s">
        <v>118</v>
      </c>
      <c r="H8" t="s">
        <v>117</v>
      </c>
      <c r="I8" t="s">
        <v>117</v>
      </c>
      <c r="J8" t="s">
        <v>118</v>
      </c>
      <c r="K8" t="s">
        <v>117</v>
      </c>
      <c r="L8" t="s">
        <v>117</v>
      </c>
      <c r="M8" t="s">
        <v>118</v>
      </c>
      <c r="N8" t="s">
        <v>117</v>
      </c>
      <c r="O8" t="s">
        <v>709</v>
      </c>
      <c r="P8" t="s">
        <v>118</v>
      </c>
      <c r="Q8" t="s">
        <v>117</v>
      </c>
      <c r="R8" t="s">
        <v>117</v>
      </c>
      <c r="S8" t="s">
        <v>118</v>
      </c>
      <c r="T8" t="s">
        <v>706</v>
      </c>
      <c r="U8" t="s">
        <v>710</v>
      </c>
      <c r="V8" t="s">
        <v>143</v>
      </c>
      <c r="W8" t="s">
        <v>117</v>
      </c>
      <c r="X8" t="s">
        <v>117</v>
      </c>
      <c r="Y8" t="s">
        <v>117</v>
      </c>
      <c r="Z8" t="s">
        <v>711</v>
      </c>
      <c r="AA8" t="s">
        <v>144</v>
      </c>
      <c r="AC8" t="s">
        <v>712</v>
      </c>
      <c r="AD8" t="s">
        <v>145</v>
      </c>
      <c r="AF8" t="s">
        <v>117</v>
      </c>
      <c r="AG8" t="s">
        <v>117</v>
      </c>
      <c r="AH8" t="s">
        <v>117</v>
      </c>
      <c r="AL8" t="s">
        <v>713</v>
      </c>
      <c r="AM8" t="s">
        <v>714</v>
      </c>
      <c r="AN8" t="s">
        <v>143</v>
      </c>
      <c r="AO8" t="s">
        <v>117</v>
      </c>
      <c r="AP8" t="s">
        <v>117</v>
      </c>
      <c r="AQ8" t="s">
        <v>118</v>
      </c>
      <c r="AR8" t="s">
        <v>713</v>
      </c>
      <c r="AS8" t="s">
        <v>714</v>
      </c>
      <c r="AT8" t="s">
        <v>143</v>
      </c>
      <c r="AU8" t="s">
        <v>715</v>
      </c>
      <c r="AV8" t="s">
        <v>716</v>
      </c>
      <c r="AW8" t="s">
        <v>717</v>
      </c>
      <c r="AX8" t="s">
        <v>718</v>
      </c>
      <c r="BA8" t="s">
        <v>719</v>
      </c>
      <c r="BD8" t="s">
        <v>720</v>
      </c>
      <c r="BE8" t="s">
        <v>716</v>
      </c>
      <c r="BF8" t="s">
        <v>721</v>
      </c>
      <c r="BG8" t="s">
        <v>721</v>
      </c>
    </row>
    <row r="9" spans="1:61" x14ac:dyDescent="0.35">
      <c r="A9" t="s">
        <v>146</v>
      </c>
      <c r="B9" t="s">
        <v>722</v>
      </c>
      <c r="C9" t="s">
        <v>723</v>
      </c>
      <c r="D9" t="s">
        <v>724</v>
      </c>
      <c r="E9" t="s">
        <v>117</v>
      </c>
      <c r="F9" t="s">
        <v>117</v>
      </c>
      <c r="G9" t="s">
        <v>118</v>
      </c>
      <c r="H9" t="s">
        <v>117</v>
      </c>
      <c r="I9" t="s">
        <v>117</v>
      </c>
      <c r="J9" t="s">
        <v>118</v>
      </c>
      <c r="K9" t="s">
        <v>117</v>
      </c>
      <c r="L9" t="s">
        <v>117</v>
      </c>
      <c r="M9" t="s">
        <v>118</v>
      </c>
      <c r="N9" t="s">
        <v>117</v>
      </c>
      <c r="O9" t="s">
        <v>725</v>
      </c>
      <c r="P9" t="s">
        <v>118</v>
      </c>
      <c r="Q9" t="s">
        <v>117</v>
      </c>
      <c r="R9" t="s">
        <v>117</v>
      </c>
      <c r="S9" t="s">
        <v>118</v>
      </c>
      <c r="T9" t="s">
        <v>722</v>
      </c>
      <c r="U9" t="s">
        <v>726</v>
      </c>
      <c r="V9" t="s">
        <v>147</v>
      </c>
      <c r="W9" t="s">
        <v>117</v>
      </c>
      <c r="X9" t="s">
        <v>117</v>
      </c>
      <c r="Y9" t="s">
        <v>117</v>
      </c>
      <c r="Z9" t="s">
        <v>727</v>
      </c>
      <c r="AA9" t="s">
        <v>148</v>
      </c>
      <c r="AB9" t="s">
        <v>728</v>
      </c>
      <c r="AC9" t="s">
        <v>729</v>
      </c>
      <c r="AD9" t="s">
        <v>149</v>
      </c>
      <c r="AE9" t="s">
        <v>730</v>
      </c>
      <c r="AF9" t="s">
        <v>117</v>
      </c>
      <c r="AG9" t="s">
        <v>117</v>
      </c>
      <c r="AH9" t="s">
        <v>117</v>
      </c>
      <c r="AL9" t="s">
        <v>731</v>
      </c>
      <c r="AM9" t="s">
        <v>732</v>
      </c>
      <c r="AN9" t="s">
        <v>147</v>
      </c>
      <c r="AO9" t="s">
        <v>117</v>
      </c>
      <c r="AP9" t="s">
        <v>117</v>
      </c>
      <c r="AQ9" t="s">
        <v>118</v>
      </c>
      <c r="AR9" t="s">
        <v>731</v>
      </c>
      <c r="AS9" t="s">
        <v>732</v>
      </c>
      <c r="AT9" t="s">
        <v>147</v>
      </c>
      <c r="AU9" t="s">
        <v>715</v>
      </c>
      <c r="AV9" t="s">
        <v>716</v>
      </c>
      <c r="AW9" t="s">
        <v>717</v>
      </c>
      <c r="AX9" t="s">
        <v>718</v>
      </c>
      <c r="BA9" t="s">
        <v>719</v>
      </c>
      <c r="BD9" t="s">
        <v>720</v>
      </c>
      <c r="BE9" t="s">
        <v>716</v>
      </c>
      <c r="BF9" t="s">
        <v>721</v>
      </c>
      <c r="BG9" t="s">
        <v>721</v>
      </c>
    </row>
    <row r="10" spans="1:61" x14ac:dyDescent="0.35">
      <c r="A10" t="s">
        <v>150</v>
      </c>
      <c r="B10" t="s">
        <v>733</v>
      </c>
      <c r="C10" t="s">
        <v>734</v>
      </c>
      <c r="D10" t="s">
        <v>151</v>
      </c>
      <c r="E10" t="s">
        <v>117</v>
      </c>
      <c r="F10" t="s">
        <v>117</v>
      </c>
      <c r="G10" t="s">
        <v>118</v>
      </c>
      <c r="H10" t="s">
        <v>117</v>
      </c>
      <c r="I10" t="s">
        <v>117</v>
      </c>
      <c r="J10" t="s">
        <v>118</v>
      </c>
      <c r="K10" t="s">
        <v>117</v>
      </c>
      <c r="L10" t="s">
        <v>117</v>
      </c>
      <c r="M10" t="s">
        <v>118</v>
      </c>
      <c r="N10" t="s">
        <v>117</v>
      </c>
      <c r="O10" t="s">
        <v>117</v>
      </c>
      <c r="P10" t="s">
        <v>118</v>
      </c>
      <c r="Q10" t="s">
        <v>117</v>
      </c>
      <c r="R10" t="s">
        <v>117</v>
      </c>
      <c r="S10" t="s">
        <v>118</v>
      </c>
      <c r="T10" t="s">
        <v>733</v>
      </c>
      <c r="U10" t="s">
        <v>734</v>
      </c>
      <c r="V10" t="s">
        <v>151</v>
      </c>
      <c r="W10" t="s">
        <v>117</v>
      </c>
      <c r="X10" t="s">
        <v>117</v>
      </c>
      <c r="Y10" t="s">
        <v>117</v>
      </c>
      <c r="Z10" t="s">
        <v>735</v>
      </c>
      <c r="AA10" t="s">
        <v>152</v>
      </c>
      <c r="AC10" t="s">
        <v>736</v>
      </c>
      <c r="AD10" t="s">
        <v>153</v>
      </c>
      <c r="AF10" t="s">
        <v>117</v>
      </c>
      <c r="AG10" t="s">
        <v>117</v>
      </c>
      <c r="AH10" t="s">
        <v>117</v>
      </c>
      <c r="AL10" t="s">
        <v>737</v>
      </c>
      <c r="AM10" t="s">
        <v>738</v>
      </c>
      <c r="AN10" t="s">
        <v>151</v>
      </c>
      <c r="AO10" t="s">
        <v>117</v>
      </c>
      <c r="AP10" t="s">
        <v>117</v>
      </c>
      <c r="AQ10" t="s">
        <v>118</v>
      </c>
      <c r="AR10" t="s">
        <v>737</v>
      </c>
      <c r="AS10" t="s">
        <v>738</v>
      </c>
      <c r="AT10" t="s">
        <v>151</v>
      </c>
      <c r="AU10" t="s">
        <v>715</v>
      </c>
      <c r="AV10" t="s">
        <v>716</v>
      </c>
      <c r="AW10" t="s">
        <v>717</v>
      </c>
      <c r="AX10" t="s">
        <v>718</v>
      </c>
      <c r="BA10" t="s">
        <v>719</v>
      </c>
      <c r="BD10" t="s">
        <v>720</v>
      </c>
      <c r="BE10" t="s">
        <v>716</v>
      </c>
      <c r="BF10" t="s">
        <v>721</v>
      </c>
      <c r="BG10" t="s">
        <v>721</v>
      </c>
    </row>
    <row r="11" spans="1:61" x14ac:dyDescent="0.35">
      <c r="A11" t="s">
        <v>154</v>
      </c>
      <c r="B11" t="s">
        <v>117</v>
      </c>
      <c r="C11" t="s">
        <v>117</v>
      </c>
      <c r="D11" t="s">
        <v>118</v>
      </c>
      <c r="E11" t="s">
        <v>117</v>
      </c>
      <c r="F11" t="s">
        <v>117</v>
      </c>
      <c r="G11" t="s">
        <v>118</v>
      </c>
      <c r="H11" t="s">
        <v>117</v>
      </c>
      <c r="I11" t="s">
        <v>117</v>
      </c>
      <c r="J11" t="s">
        <v>118</v>
      </c>
      <c r="K11" t="s">
        <v>117</v>
      </c>
      <c r="L11" t="s">
        <v>117</v>
      </c>
      <c r="M11" t="s">
        <v>118</v>
      </c>
      <c r="N11" t="s">
        <v>117</v>
      </c>
      <c r="O11" t="s">
        <v>117</v>
      </c>
      <c r="P11" t="s">
        <v>118</v>
      </c>
      <c r="Q11" t="s">
        <v>117</v>
      </c>
      <c r="R11" t="s">
        <v>117</v>
      </c>
      <c r="S11" t="s">
        <v>118</v>
      </c>
      <c r="T11" t="s">
        <v>117</v>
      </c>
      <c r="U11" t="s">
        <v>117</v>
      </c>
      <c r="V11" t="s">
        <v>118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L11" t="s">
        <v>117</v>
      </c>
      <c r="AM11" t="s">
        <v>117</v>
      </c>
      <c r="AN11" t="s">
        <v>118</v>
      </c>
      <c r="AO11" t="s">
        <v>117</v>
      </c>
      <c r="AP11" t="s">
        <v>117</v>
      </c>
      <c r="AQ11" t="s">
        <v>118</v>
      </c>
      <c r="AR11" t="s">
        <v>117</v>
      </c>
      <c r="AS11" t="s">
        <v>117</v>
      </c>
      <c r="AT11" t="s">
        <v>118</v>
      </c>
      <c r="AU11" t="s">
        <v>715</v>
      </c>
      <c r="AV11" t="s">
        <v>716</v>
      </c>
      <c r="AW11" t="s">
        <v>717</v>
      </c>
      <c r="AX11" t="s">
        <v>718</v>
      </c>
      <c r="BA11" t="s">
        <v>719</v>
      </c>
      <c r="BD11" t="s">
        <v>720</v>
      </c>
      <c r="BE11" t="s">
        <v>716</v>
      </c>
      <c r="BF11" t="s">
        <v>721</v>
      </c>
      <c r="BG11" t="s">
        <v>721</v>
      </c>
    </row>
    <row r="12" spans="1:61" x14ac:dyDescent="0.35">
      <c r="A12" t="s">
        <v>155</v>
      </c>
      <c r="B12" t="s">
        <v>739</v>
      </c>
      <c r="C12" t="s">
        <v>740</v>
      </c>
      <c r="D12" t="s">
        <v>741</v>
      </c>
      <c r="E12" t="s">
        <v>117</v>
      </c>
      <c r="F12" t="s">
        <v>117</v>
      </c>
      <c r="G12" t="s">
        <v>118</v>
      </c>
      <c r="H12" t="s">
        <v>739</v>
      </c>
      <c r="I12" t="s">
        <v>742</v>
      </c>
      <c r="J12" t="s">
        <v>156</v>
      </c>
      <c r="K12" t="s">
        <v>117</v>
      </c>
      <c r="L12" t="s">
        <v>117</v>
      </c>
      <c r="M12" t="s">
        <v>118</v>
      </c>
      <c r="N12" t="s">
        <v>117</v>
      </c>
      <c r="O12" t="s">
        <v>743</v>
      </c>
      <c r="P12" t="s">
        <v>118</v>
      </c>
      <c r="Q12" t="s">
        <v>117</v>
      </c>
      <c r="R12" t="s">
        <v>117</v>
      </c>
      <c r="S12" t="s">
        <v>118</v>
      </c>
      <c r="T12" t="s">
        <v>117</v>
      </c>
      <c r="U12" t="s">
        <v>117</v>
      </c>
      <c r="V12" t="s">
        <v>118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L12" t="s">
        <v>117</v>
      </c>
      <c r="AM12" t="s">
        <v>117</v>
      </c>
      <c r="AN12" t="s">
        <v>118</v>
      </c>
      <c r="AO12" t="s">
        <v>117</v>
      </c>
      <c r="AP12" t="s">
        <v>117</v>
      </c>
      <c r="AQ12" t="s">
        <v>118</v>
      </c>
      <c r="AR12" t="s">
        <v>117</v>
      </c>
      <c r="AS12" t="s">
        <v>117</v>
      </c>
      <c r="AT12" t="s">
        <v>118</v>
      </c>
      <c r="AU12" t="s">
        <v>117</v>
      </c>
      <c r="AV12" t="s">
        <v>117</v>
      </c>
      <c r="AW12" t="s">
        <v>118</v>
      </c>
      <c r="AX12" t="s">
        <v>117</v>
      </c>
      <c r="BA12" t="s">
        <v>117</v>
      </c>
      <c r="BD12" t="s">
        <v>117</v>
      </c>
      <c r="BE12" t="s">
        <v>117</v>
      </c>
      <c r="BF12" t="s">
        <v>118</v>
      </c>
      <c r="BG12" t="s">
        <v>156</v>
      </c>
    </row>
    <row r="13" spans="1:61" x14ac:dyDescent="0.35">
      <c r="A13" t="s">
        <v>157</v>
      </c>
      <c r="B13" t="s">
        <v>117</v>
      </c>
      <c r="C13" t="s">
        <v>117</v>
      </c>
      <c r="D13" t="s">
        <v>118</v>
      </c>
      <c r="E13" t="s">
        <v>117</v>
      </c>
      <c r="F13" t="s">
        <v>117</v>
      </c>
      <c r="G13" t="s">
        <v>118</v>
      </c>
      <c r="H13" t="s">
        <v>117</v>
      </c>
      <c r="I13" t="s">
        <v>117</v>
      </c>
      <c r="J13" t="s">
        <v>118</v>
      </c>
      <c r="K13" t="s">
        <v>117</v>
      </c>
      <c r="L13" t="s">
        <v>117</v>
      </c>
      <c r="M13" t="s">
        <v>118</v>
      </c>
      <c r="N13" t="s">
        <v>117</v>
      </c>
      <c r="O13" t="s">
        <v>117</v>
      </c>
      <c r="P13" t="s">
        <v>118</v>
      </c>
      <c r="Q13" t="s">
        <v>117</v>
      </c>
      <c r="R13" t="s">
        <v>117</v>
      </c>
      <c r="S13" t="s">
        <v>118</v>
      </c>
      <c r="T13" t="s">
        <v>117</v>
      </c>
      <c r="U13" t="s">
        <v>117</v>
      </c>
      <c r="V13" t="s">
        <v>118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L13" t="s">
        <v>117</v>
      </c>
      <c r="AM13" t="s">
        <v>117</v>
      </c>
      <c r="AN13" t="s">
        <v>118</v>
      </c>
      <c r="AO13" t="s">
        <v>117</v>
      </c>
      <c r="AP13" t="s">
        <v>117</v>
      </c>
      <c r="AQ13" t="s">
        <v>118</v>
      </c>
      <c r="AR13" t="s">
        <v>117</v>
      </c>
      <c r="AS13" t="s">
        <v>117</v>
      </c>
      <c r="AT13" t="s">
        <v>118</v>
      </c>
      <c r="AU13" t="s">
        <v>117</v>
      </c>
      <c r="AV13" t="s">
        <v>117</v>
      </c>
      <c r="AW13" t="s">
        <v>118</v>
      </c>
      <c r="AX13" t="s">
        <v>117</v>
      </c>
      <c r="BA13" t="s">
        <v>117</v>
      </c>
      <c r="BD13" t="s">
        <v>117</v>
      </c>
      <c r="BE13" t="s">
        <v>117</v>
      </c>
      <c r="BF13" t="s">
        <v>118</v>
      </c>
      <c r="BG13" t="s">
        <v>156</v>
      </c>
    </row>
    <row r="14" spans="1:61" x14ac:dyDescent="0.35">
      <c r="A14" t="s">
        <v>158</v>
      </c>
      <c r="B14" t="s">
        <v>117</v>
      </c>
      <c r="C14" t="s">
        <v>117</v>
      </c>
      <c r="D14" t="s">
        <v>118</v>
      </c>
      <c r="E14" t="s">
        <v>117</v>
      </c>
      <c r="F14" t="s">
        <v>117</v>
      </c>
      <c r="G14" t="s">
        <v>118</v>
      </c>
      <c r="H14" t="s">
        <v>117</v>
      </c>
      <c r="I14" t="s">
        <v>117</v>
      </c>
      <c r="J14" t="s">
        <v>118</v>
      </c>
      <c r="K14" t="s">
        <v>117</v>
      </c>
      <c r="L14" t="s">
        <v>117</v>
      </c>
      <c r="M14" t="s">
        <v>118</v>
      </c>
      <c r="N14" t="s">
        <v>117</v>
      </c>
      <c r="O14" t="s">
        <v>117</v>
      </c>
      <c r="P14" t="s">
        <v>118</v>
      </c>
      <c r="Q14" t="s">
        <v>117</v>
      </c>
      <c r="R14" t="s">
        <v>117</v>
      </c>
      <c r="S14" t="s">
        <v>118</v>
      </c>
      <c r="T14" t="s">
        <v>117</v>
      </c>
      <c r="U14" t="s">
        <v>117</v>
      </c>
      <c r="V14" t="s">
        <v>118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L14" t="s">
        <v>117</v>
      </c>
      <c r="AM14" t="s">
        <v>117</v>
      </c>
      <c r="AN14" t="s">
        <v>118</v>
      </c>
      <c r="AO14" t="s">
        <v>117</v>
      </c>
      <c r="AP14" t="s">
        <v>117</v>
      </c>
      <c r="AQ14" t="s">
        <v>118</v>
      </c>
      <c r="AR14" t="s">
        <v>117</v>
      </c>
      <c r="AS14" t="s">
        <v>117</v>
      </c>
      <c r="AT14" t="s">
        <v>118</v>
      </c>
      <c r="AU14" t="s">
        <v>117</v>
      </c>
      <c r="AV14" t="s">
        <v>117</v>
      </c>
      <c r="AW14" t="s">
        <v>118</v>
      </c>
      <c r="AX14" t="s">
        <v>117</v>
      </c>
      <c r="BA14" t="s">
        <v>117</v>
      </c>
      <c r="BD14" t="s">
        <v>117</v>
      </c>
      <c r="BE14" t="s">
        <v>117</v>
      </c>
      <c r="BF14" t="s">
        <v>118</v>
      </c>
      <c r="BG14" t="s">
        <v>156</v>
      </c>
    </row>
    <row r="15" spans="1:61" x14ac:dyDescent="0.35">
      <c r="A15" t="s">
        <v>159</v>
      </c>
      <c r="B15" t="s">
        <v>744</v>
      </c>
      <c r="C15" t="s">
        <v>745</v>
      </c>
      <c r="D15" t="s">
        <v>746</v>
      </c>
      <c r="E15" t="s">
        <v>117</v>
      </c>
      <c r="F15" t="s">
        <v>117</v>
      </c>
      <c r="G15" t="s">
        <v>118</v>
      </c>
      <c r="H15" t="s">
        <v>744</v>
      </c>
      <c r="I15" t="s">
        <v>747</v>
      </c>
      <c r="J15" t="s">
        <v>160</v>
      </c>
      <c r="K15" t="s">
        <v>117</v>
      </c>
      <c r="L15" t="s">
        <v>117</v>
      </c>
      <c r="M15" t="s">
        <v>118</v>
      </c>
      <c r="N15" t="s">
        <v>117</v>
      </c>
      <c r="O15" t="s">
        <v>748</v>
      </c>
      <c r="P15" t="s">
        <v>118</v>
      </c>
      <c r="Q15" t="s">
        <v>117</v>
      </c>
      <c r="R15" t="s">
        <v>117</v>
      </c>
      <c r="S15" t="s">
        <v>118</v>
      </c>
      <c r="T15" t="s">
        <v>117</v>
      </c>
      <c r="U15" t="s">
        <v>117</v>
      </c>
      <c r="V15" t="s">
        <v>118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L15" t="s">
        <v>117</v>
      </c>
      <c r="AM15" t="s">
        <v>117</v>
      </c>
      <c r="AN15" t="s">
        <v>118</v>
      </c>
      <c r="AO15" t="s">
        <v>117</v>
      </c>
      <c r="AP15" t="s">
        <v>117</v>
      </c>
      <c r="AQ15" t="s">
        <v>118</v>
      </c>
      <c r="AR15" t="s">
        <v>117</v>
      </c>
      <c r="AS15" t="s">
        <v>117</v>
      </c>
      <c r="AT15" t="s">
        <v>118</v>
      </c>
      <c r="AU15" t="s">
        <v>117</v>
      </c>
      <c r="AV15" t="s">
        <v>117</v>
      </c>
      <c r="AW15" t="s">
        <v>118</v>
      </c>
      <c r="AX15" t="s">
        <v>117</v>
      </c>
      <c r="BA15" t="s">
        <v>117</v>
      </c>
      <c r="BD15" t="s">
        <v>117</v>
      </c>
      <c r="BE15" t="s">
        <v>117</v>
      </c>
      <c r="BF15" t="s">
        <v>118</v>
      </c>
      <c r="BG15" t="s">
        <v>160</v>
      </c>
    </row>
    <row r="16" spans="1:61" x14ac:dyDescent="0.35">
      <c r="A16" t="s">
        <v>161</v>
      </c>
      <c r="B16" t="s">
        <v>117</v>
      </c>
      <c r="C16" t="s">
        <v>117</v>
      </c>
      <c r="D16" t="s">
        <v>118</v>
      </c>
      <c r="E16" t="s">
        <v>117</v>
      </c>
      <c r="F16" t="s">
        <v>117</v>
      </c>
      <c r="G16" t="s">
        <v>118</v>
      </c>
      <c r="H16" t="s">
        <v>117</v>
      </c>
      <c r="I16" t="s">
        <v>117</v>
      </c>
      <c r="J16" t="s">
        <v>118</v>
      </c>
      <c r="K16" t="s">
        <v>117</v>
      </c>
      <c r="L16" t="s">
        <v>117</v>
      </c>
      <c r="M16" t="s">
        <v>118</v>
      </c>
      <c r="N16" t="s">
        <v>117</v>
      </c>
      <c r="O16" t="s">
        <v>117</v>
      </c>
      <c r="P16" t="s">
        <v>118</v>
      </c>
      <c r="Q16" t="s">
        <v>117</v>
      </c>
      <c r="R16" t="s">
        <v>117</v>
      </c>
      <c r="S16" t="s">
        <v>118</v>
      </c>
      <c r="T16" t="s">
        <v>117</v>
      </c>
      <c r="U16" t="s">
        <v>117</v>
      </c>
      <c r="V16" t="s">
        <v>118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L16" t="s">
        <v>117</v>
      </c>
      <c r="AM16" t="s">
        <v>117</v>
      </c>
      <c r="AN16" t="s">
        <v>118</v>
      </c>
      <c r="AO16" t="s">
        <v>117</v>
      </c>
      <c r="AP16" t="s">
        <v>117</v>
      </c>
      <c r="AQ16" t="s">
        <v>118</v>
      </c>
      <c r="AR16" t="s">
        <v>117</v>
      </c>
      <c r="AS16" t="s">
        <v>117</v>
      </c>
      <c r="AT16" t="s">
        <v>118</v>
      </c>
      <c r="AU16" t="s">
        <v>117</v>
      </c>
      <c r="AV16" t="s">
        <v>117</v>
      </c>
      <c r="AW16" t="s">
        <v>118</v>
      </c>
      <c r="AX16" t="s">
        <v>117</v>
      </c>
      <c r="BA16" t="s">
        <v>117</v>
      </c>
      <c r="BD16" t="s">
        <v>117</v>
      </c>
      <c r="BE16" t="s">
        <v>117</v>
      </c>
      <c r="BF16" t="s">
        <v>118</v>
      </c>
      <c r="BG16" t="s">
        <v>160</v>
      </c>
    </row>
    <row r="17" spans="1:59" x14ac:dyDescent="0.35">
      <c r="A17" t="s">
        <v>162</v>
      </c>
      <c r="B17" t="s">
        <v>117</v>
      </c>
      <c r="C17" t="s">
        <v>117</v>
      </c>
      <c r="D17" t="s">
        <v>118</v>
      </c>
      <c r="E17" t="s">
        <v>117</v>
      </c>
      <c r="F17" t="s">
        <v>117</v>
      </c>
      <c r="G17" t="s">
        <v>118</v>
      </c>
      <c r="H17" t="s">
        <v>117</v>
      </c>
      <c r="I17" t="s">
        <v>117</v>
      </c>
      <c r="J17" t="s">
        <v>118</v>
      </c>
      <c r="K17" t="s">
        <v>117</v>
      </c>
      <c r="L17" t="s">
        <v>117</v>
      </c>
      <c r="M17" t="s">
        <v>118</v>
      </c>
      <c r="N17" t="s">
        <v>117</v>
      </c>
      <c r="O17" t="s">
        <v>117</v>
      </c>
      <c r="P17" t="s">
        <v>118</v>
      </c>
      <c r="Q17" t="s">
        <v>117</v>
      </c>
      <c r="R17" t="s">
        <v>117</v>
      </c>
      <c r="S17" t="s">
        <v>118</v>
      </c>
      <c r="T17" t="s">
        <v>117</v>
      </c>
      <c r="U17" t="s">
        <v>117</v>
      </c>
      <c r="V17" t="s">
        <v>118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L17" t="s">
        <v>117</v>
      </c>
      <c r="AM17" t="s">
        <v>117</v>
      </c>
      <c r="AN17" t="s">
        <v>118</v>
      </c>
      <c r="AO17" t="s">
        <v>117</v>
      </c>
      <c r="AP17" t="s">
        <v>117</v>
      </c>
      <c r="AQ17" t="s">
        <v>118</v>
      </c>
      <c r="AR17" t="s">
        <v>117</v>
      </c>
      <c r="AS17" t="s">
        <v>117</v>
      </c>
      <c r="AT17" t="s">
        <v>118</v>
      </c>
      <c r="AU17" t="s">
        <v>117</v>
      </c>
      <c r="AV17" t="s">
        <v>117</v>
      </c>
      <c r="AW17" t="s">
        <v>118</v>
      </c>
      <c r="AX17" t="s">
        <v>117</v>
      </c>
      <c r="BA17" t="s">
        <v>117</v>
      </c>
      <c r="BD17" t="s">
        <v>117</v>
      </c>
      <c r="BE17" t="s">
        <v>117</v>
      </c>
      <c r="BF17" t="s">
        <v>118</v>
      </c>
      <c r="BG17" t="s">
        <v>160</v>
      </c>
    </row>
    <row r="18" spans="1:59" x14ac:dyDescent="0.35">
      <c r="A18" t="s">
        <v>163</v>
      </c>
      <c r="B18" t="s">
        <v>749</v>
      </c>
      <c r="C18" t="s">
        <v>750</v>
      </c>
      <c r="D18" t="s">
        <v>751</v>
      </c>
      <c r="E18" t="s">
        <v>117</v>
      </c>
      <c r="F18" t="s">
        <v>117</v>
      </c>
      <c r="G18" t="s">
        <v>118</v>
      </c>
      <c r="H18" t="s">
        <v>749</v>
      </c>
      <c r="I18" t="s">
        <v>752</v>
      </c>
      <c r="J18" t="s">
        <v>164</v>
      </c>
      <c r="K18" t="s">
        <v>117</v>
      </c>
      <c r="L18" t="s">
        <v>117</v>
      </c>
      <c r="M18" t="s">
        <v>118</v>
      </c>
      <c r="N18" t="s">
        <v>117</v>
      </c>
      <c r="O18" t="s">
        <v>753</v>
      </c>
      <c r="P18" t="s">
        <v>118</v>
      </c>
      <c r="Q18" t="s">
        <v>117</v>
      </c>
      <c r="R18" t="s">
        <v>117</v>
      </c>
      <c r="S18" t="s">
        <v>118</v>
      </c>
      <c r="T18" t="s">
        <v>117</v>
      </c>
      <c r="U18" t="s">
        <v>117</v>
      </c>
      <c r="V18" t="s">
        <v>118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L18" t="s">
        <v>117</v>
      </c>
      <c r="AM18" t="s">
        <v>117</v>
      </c>
      <c r="AN18" t="s">
        <v>118</v>
      </c>
      <c r="AO18" t="s">
        <v>117</v>
      </c>
      <c r="AP18" t="s">
        <v>117</v>
      </c>
      <c r="AQ18" t="s">
        <v>118</v>
      </c>
      <c r="AR18" t="s">
        <v>117</v>
      </c>
      <c r="AS18" t="s">
        <v>117</v>
      </c>
      <c r="AT18" t="s">
        <v>118</v>
      </c>
      <c r="AU18" t="s">
        <v>117</v>
      </c>
      <c r="AV18" t="s">
        <v>117</v>
      </c>
      <c r="AW18" t="s">
        <v>118</v>
      </c>
      <c r="AX18" t="s">
        <v>117</v>
      </c>
      <c r="BA18" t="s">
        <v>117</v>
      </c>
      <c r="BD18" t="s">
        <v>117</v>
      </c>
      <c r="BE18" t="s">
        <v>117</v>
      </c>
      <c r="BF18" t="s">
        <v>118</v>
      </c>
      <c r="BG18" t="s">
        <v>164</v>
      </c>
    </row>
    <row r="19" spans="1:59" x14ac:dyDescent="0.35">
      <c r="A19" t="s">
        <v>165</v>
      </c>
      <c r="B19" t="s">
        <v>117</v>
      </c>
      <c r="C19" t="s">
        <v>117</v>
      </c>
      <c r="D19" t="s">
        <v>118</v>
      </c>
      <c r="E19" t="s">
        <v>117</v>
      </c>
      <c r="F19" t="s">
        <v>117</v>
      </c>
      <c r="G19" t="s">
        <v>118</v>
      </c>
      <c r="H19" t="s">
        <v>117</v>
      </c>
      <c r="I19" t="s">
        <v>117</v>
      </c>
      <c r="J19" t="s">
        <v>118</v>
      </c>
      <c r="K19" t="s">
        <v>117</v>
      </c>
      <c r="L19" t="s">
        <v>117</v>
      </c>
      <c r="M19" t="s">
        <v>118</v>
      </c>
      <c r="N19" t="s">
        <v>117</v>
      </c>
      <c r="O19" t="s">
        <v>117</v>
      </c>
      <c r="P19" t="s">
        <v>118</v>
      </c>
      <c r="Q19" t="s">
        <v>117</v>
      </c>
      <c r="R19" t="s">
        <v>117</v>
      </c>
      <c r="S19" t="s">
        <v>118</v>
      </c>
      <c r="T19" t="s">
        <v>117</v>
      </c>
      <c r="U19" t="s">
        <v>117</v>
      </c>
      <c r="V19" t="s">
        <v>118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L19" t="s">
        <v>117</v>
      </c>
      <c r="AM19" t="s">
        <v>117</v>
      </c>
      <c r="AN19" t="s">
        <v>118</v>
      </c>
      <c r="AO19" t="s">
        <v>117</v>
      </c>
      <c r="AP19" t="s">
        <v>117</v>
      </c>
      <c r="AQ19" t="s">
        <v>118</v>
      </c>
      <c r="AR19" t="s">
        <v>117</v>
      </c>
      <c r="AS19" t="s">
        <v>117</v>
      </c>
      <c r="AT19" t="s">
        <v>118</v>
      </c>
      <c r="AU19" t="s">
        <v>117</v>
      </c>
      <c r="AV19" t="s">
        <v>117</v>
      </c>
      <c r="AW19" t="s">
        <v>118</v>
      </c>
      <c r="AX19" t="s">
        <v>117</v>
      </c>
      <c r="BA19" t="s">
        <v>117</v>
      </c>
      <c r="BD19" t="s">
        <v>117</v>
      </c>
      <c r="BE19" t="s">
        <v>117</v>
      </c>
      <c r="BF19" t="s">
        <v>118</v>
      </c>
      <c r="BG19" t="s">
        <v>164</v>
      </c>
    </row>
    <row r="20" spans="1:59" x14ac:dyDescent="0.35">
      <c r="A20" t="s">
        <v>166</v>
      </c>
      <c r="B20" t="s">
        <v>117</v>
      </c>
      <c r="C20" t="s">
        <v>117</v>
      </c>
      <c r="D20" t="s">
        <v>118</v>
      </c>
      <c r="E20" t="s">
        <v>117</v>
      </c>
      <c r="F20" t="s">
        <v>117</v>
      </c>
      <c r="G20" t="s">
        <v>118</v>
      </c>
      <c r="H20" t="s">
        <v>117</v>
      </c>
      <c r="I20" t="s">
        <v>117</v>
      </c>
      <c r="J20" t="s">
        <v>118</v>
      </c>
      <c r="K20" t="s">
        <v>117</v>
      </c>
      <c r="L20" t="s">
        <v>117</v>
      </c>
      <c r="M20" t="s">
        <v>118</v>
      </c>
      <c r="N20" t="s">
        <v>117</v>
      </c>
      <c r="O20" t="s">
        <v>117</v>
      </c>
      <c r="P20" t="s">
        <v>118</v>
      </c>
      <c r="Q20" t="s">
        <v>117</v>
      </c>
      <c r="R20" t="s">
        <v>117</v>
      </c>
      <c r="S20" t="s">
        <v>118</v>
      </c>
      <c r="T20" t="s">
        <v>117</v>
      </c>
      <c r="U20" t="s">
        <v>117</v>
      </c>
      <c r="V20" t="s">
        <v>118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L20" t="s">
        <v>117</v>
      </c>
      <c r="AM20" t="s">
        <v>117</v>
      </c>
      <c r="AN20" t="s">
        <v>118</v>
      </c>
      <c r="AO20" t="s">
        <v>117</v>
      </c>
      <c r="AP20" t="s">
        <v>117</v>
      </c>
      <c r="AQ20" t="s">
        <v>118</v>
      </c>
      <c r="AR20" t="s">
        <v>117</v>
      </c>
      <c r="AS20" t="s">
        <v>117</v>
      </c>
      <c r="AT20" t="s">
        <v>118</v>
      </c>
      <c r="AU20" t="s">
        <v>117</v>
      </c>
      <c r="AV20" t="s">
        <v>117</v>
      </c>
      <c r="AW20" t="s">
        <v>118</v>
      </c>
      <c r="AX20" t="s">
        <v>117</v>
      </c>
      <c r="BA20" t="s">
        <v>117</v>
      </c>
      <c r="BD20" t="s">
        <v>117</v>
      </c>
      <c r="BE20" t="s">
        <v>117</v>
      </c>
      <c r="BF20" t="s">
        <v>118</v>
      </c>
      <c r="BG20" t="s">
        <v>164</v>
      </c>
    </row>
    <row r="21" spans="1:59" x14ac:dyDescent="0.35">
      <c r="A21" t="s">
        <v>167</v>
      </c>
      <c r="B21" t="s">
        <v>754</v>
      </c>
      <c r="C21" t="s">
        <v>755</v>
      </c>
      <c r="D21" t="s">
        <v>756</v>
      </c>
      <c r="E21" t="s">
        <v>117</v>
      </c>
      <c r="F21" t="s">
        <v>117</v>
      </c>
      <c r="G21" t="s">
        <v>118</v>
      </c>
      <c r="H21" t="s">
        <v>754</v>
      </c>
      <c r="I21" t="s">
        <v>168</v>
      </c>
      <c r="J21" t="s">
        <v>169</v>
      </c>
      <c r="K21" t="s">
        <v>117</v>
      </c>
      <c r="L21" t="s">
        <v>117</v>
      </c>
      <c r="M21" t="s">
        <v>118</v>
      </c>
      <c r="N21" t="s">
        <v>117</v>
      </c>
      <c r="O21" t="s">
        <v>757</v>
      </c>
      <c r="P21" t="s">
        <v>118</v>
      </c>
      <c r="Q21" t="s">
        <v>117</v>
      </c>
      <c r="R21" t="s">
        <v>117</v>
      </c>
      <c r="S21" t="s">
        <v>118</v>
      </c>
      <c r="T21" t="s">
        <v>117</v>
      </c>
      <c r="U21" t="s">
        <v>117</v>
      </c>
      <c r="V21" t="s">
        <v>118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L21" t="s">
        <v>117</v>
      </c>
      <c r="AM21" t="s">
        <v>117</v>
      </c>
      <c r="AN21" t="s">
        <v>118</v>
      </c>
      <c r="AO21" t="s">
        <v>117</v>
      </c>
      <c r="AP21" t="s">
        <v>117</v>
      </c>
      <c r="AQ21" t="s">
        <v>118</v>
      </c>
      <c r="AR21" t="s">
        <v>117</v>
      </c>
      <c r="AS21" t="s">
        <v>117</v>
      </c>
      <c r="AT21" t="s">
        <v>118</v>
      </c>
      <c r="AU21" t="s">
        <v>117</v>
      </c>
      <c r="AV21" t="s">
        <v>117</v>
      </c>
      <c r="AW21" t="s">
        <v>118</v>
      </c>
      <c r="AX21" t="s">
        <v>117</v>
      </c>
      <c r="BA21" t="s">
        <v>117</v>
      </c>
      <c r="BD21" t="s">
        <v>117</v>
      </c>
      <c r="BE21" t="s">
        <v>117</v>
      </c>
      <c r="BF21" t="s">
        <v>118</v>
      </c>
      <c r="BG21" t="s">
        <v>169</v>
      </c>
    </row>
    <row r="22" spans="1:59" x14ac:dyDescent="0.35">
      <c r="A22" t="s">
        <v>171</v>
      </c>
      <c r="B22" t="s">
        <v>117</v>
      </c>
      <c r="C22" t="s">
        <v>117</v>
      </c>
      <c r="D22" t="s">
        <v>118</v>
      </c>
      <c r="E22" t="s">
        <v>117</v>
      </c>
      <c r="F22" t="s">
        <v>117</v>
      </c>
      <c r="G22" t="s">
        <v>118</v>
      </c>
      <c r="H22" t="s">
        <v>117</v>
      </c>
      <c r="I22" t="s">
        <v>117</v>
      </c>
      <c r="J22" t="s">
        <v>118</v>
      </c>
      <c r="K22" t="s">
        <v>117</v>
      </c>
      <c r="L22" t="s">
        <v>117</v>
      </c>
      <c r="M22" t="s">
        <v>118</v>
      </c>
      <c r="N22" t="s">
        <v>117</v>
      </c>
      <c r="O22" t="s">
        <v>117</v>
      </c>
      <c r="P22" t="s">
        <v>118</v>
      </c>
      <c r="Q22" t="s">
        <v>117</v>
      </c>
      <c r="R22" t="s">
        <v>117</v>
      </c>
      <c r="S22" t="s">
        <v>118</v>
      </c>
      <c r="T22" t="s">
        <v>117</v>
      </c>
      <c r="U22" t="s">
        <v>117</v>
      </c>
      <c r="V22" t="s">
        <v>118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L22" t="s">
        <v>117</v>
      </c>
      <c r="AM22" t="s">
        <v>117</v>
      </c>
      <c r="AN22" t="s">
        <v>118</v>
      </c>
      <c r="AO22" t="s">
        <v>117</v>
      </c>
      <c r="AP22" t="s">
        <v>117</v>
      </c>
      <c r="AQ22" t="s">
        <v>118</v>
      </c>
      <c r="AR22" t="s">
        <v>117</v>
      </c>
      <c r="AS22" t="s">
        <v>117</v>
      </c>
      <c r="AT22" t="s">
        <v>118</v>
      </c>
      <c r="AU22" t="s">
        <v>117</v>
      </c>
      <c r="AV22" t="s">
        <v>117</v>
      </c>
      <c r="AW22" t="s">
        <v>118</v>
      </c>
      <c r="AX22" t="s">
        <v>117</v>
      </c>
      <c r="BA22" t="s">
        <v>117</v>
      </c>
      <c r="BD22" t="s">
        <v>117</v>
      </c>
      <c r="BE22" t="s">
        <v>117</v>
      </c>
      <c r="BF22" t="s">
        <v>118</v>
      </c>
      <c r="BG22" t="s">
        <v>169</v>
      </c>
    </row>
    <row r="23" spans="1:59" x14ac:dyDescent="0.35">
      <c r="A23" t="s">
        <v>172</v>
      </c>
      <c r="B23" t="s">
        <v>117</v>
      </c>
      <c r="C23" t="s">
        <v>117</v>
      </c>
      <c r="D23" t="s">
        <v>118</v>
      </c>
      <c r="E23" t="s">
        <v>117</v>
      </c>
      <c r="F23" t="s">
        <v>117</v>
      </c>
      <c r="G23" t="s">
        <v>118</v>
      </c>
      <c r="H23" t="s">
        <v>117</v>
      </c>
      <c r="I23" t="s">
        <v>117</v>
      </c>
      <c r="J23" t="s">
        <v>118</v>
      </c>
      <c r="K23" t="s">
        <v>117</v>
      </c>
      <c r="L23" t="s">
        <v>117</v>
      </c>
      <c r="M23" t="s">
        <v>118</v>
      </c>
      <c r="N23" t="s">
        <v>117</v>
      </c>
      <c r="O23" t="s">
        <v>117</v>
      </c>
      <c r="P23" t="s">
        <v>118</v>
      </c>
      <c r="Q23" t="s">
        <v>117</v>
      </c>
      <c r="R23" t="s">
        <v>117</v>
      </c>
      <c r="S23" t="s">
        <v>118</v>
      </c>
      <c r="T23" t="s">
        <v>117</v>
      </c>
      <c r="U23" t="s">
        <v>117</v>
      </c>
      <c r="V23" t="s">
        <v>118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L23" t="s">
        <v>117</v>
      </c>
      <c r="AM23" t="s">
        <v>117</v>
      </c>
      <c r="AN23" t="s">
        <v>118</v>
      </c>
      <c r="AO23" t="s">
        <v>117</v>
      </c>
      <c r="AP23" t="s">
        <v>117</v>
      </c>
      <c r="AQ23" t="s">
        <v>118</v>
      </c>
      <c r="AR23" t="s">
        <v>117</v>
      </c>
      <c r="AS23" t="s">
        <v>117</v>
      </c>
      <c r="AT23" t="s">
        <v>118</v>
      </c>
      <c r="AU23" t="s">
        <v>117</v>
      </c>
      <c r="AV23" t="s">
        <v>117</v>
      </c>
      <c r="AW23" t="s">
        <v>118</v>
      </c>
      <c r="AX23" t="s">
        <v>117</v>
      </c>
      <c r="BA23" t="s">
        <v>117</v>
      </c>
      <c r="BD23" t="s">
        <v>117</v>
      </c>
      <c r="BE23" t="s">
        <v>117</v>
      </c>
      <c r="BF23" t="s">
        <v>118</v>
      </c>
      <c r="BG23" t="s">
        <v>169</v>
      </c>
    </row>
    <row r="24" spans="1:59" x14ac:dyDescent="0.35">
      <c r="A24" t="s">
        <v>173</v>
      </c>
      <c r="B24" t="s">
        <v>758</v>
      </c>
      <c r="C24" t="s">
        <v>759</v>
      </c>
      <c r="D24" t="s">
        <v>760</v>
      </c>
      <c r="E24" t="s">
        <v>117</v>
      </c>
      <c r="F24" t="s">
        <v>117</v>
      </c>
      <c r="G24" t="s">
        <v>118</v>
      </c>
      <c r="H24" t="s">
        <v>758</v>
      </c>
      <c r="I24" t="s">
        <v>761</v>
      </c>
      <c r="J24" t="s">
        <v>174</v>
      </c>
      <c r="K24" t="s">
        <v>117</v>
      </c>
      <c r="L24" t="s">
        <v>117</v>
      </c>
      <c r="M24" t="s">
        <v>118</v>
      </c>
      <c r="N24" t="s">
        <v>117</v>
      </c>
      <c r="O24" t="s">
        <v>170</v>
      </c>
      <c r="P24" t="s">
        <v>118</v>
      </c>
      <c r="Q24" t="s">
        <v>117</v>
      </c>
      <c r="R24" t="s">
        <v>117</v>
      </c>
      <c r="S24" t="s">
        <v>118</v>
      </c>
      <c r="T24" t="s">
        <v>117</v>
      </c>
      <c r="U24" t="s">
        <v>117</v>
      </c>
      <c r="V24" t="s">
        <v>118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L24" t="s">
        <v>117</v>
      </c>
      <c r="AM24" t="s">
        <v>117</v>
      </c>
      <c r="AN24" t="s">
        <v>118</v>
      </c>
      <c r="AO24" t="s">
        <v>117</v>
      </c>
      <c r="AP24" t="s">
        <v>117</v>
      </c>
      <c r="AQ24" t="s">
        <v>118</v>
      </c>
      <c r="AR24" t="s">
        <v>117</v>
      </c>
      <c r="AS24" t="s">
        <v>117</v>
      </c>
      <c r="AT24" t="s">
        <v>118</v>
      </c>
      <c r="AU24" t="s">
        <v>117</v>
      </c>
      <c r="AV24" t="s">
        <v>117</v>
      </c>
      <c r="AW24" t="s">
        <v>118</v>
      </c>
      <c r="AX24" t="s">
        <v>117</v>
      </c>
      <c r="BA24" t="s">
        <v>117</v>
      </c>
      <c r="BD24" t="s">
        <v>117</v>
      </c>
      <c r="BE24" t="s">
        <v>117</v>
      </c>
      <c r="BF24" t="s">
        <v>118</v>
      </c>
      <c r="BG24" t="s">
        <v>174</v>
      </c>
    </row>
    <row r="25" spans="1:59" x14ac:dyDescent="0.35">
      <c r="A25" t="s">
        <v>175</v>
      </c>
      <c r="B25" t="s">
        <v>117</v>
      </c>
      <c r="C25" t="s">
        <v>117</v>
      </c>
      <c r="D25" t="s">
        <v>118</v>
      </c>
      <c r="E25" t="s">
        <v>117</v>
      </c>
      <c r="F25" t="s">
        <v>117</v>
      </c>
      <c r="G25" t="s">
        <v>118</v>
      </c>
      <c r="H25" t="s">
        <v>117</v>
      </c>
      <c r="I25" t="s">
        <v>117</v>
      </c>
      <c r="J25" t="s">
        <v>118</v>
      </c>
      <c r="K25" t="s">
        <v>117</v>
      </c>
      <c r="L25" t="s">
        <v>117</v>
      </c>
      <c r="M25" t="s">
        <v>118</v>
      </c>
      <c r="N25" t="s">
        <v>117</v>
      </c>
      <c r="O25" t="s">
        <v>117</v>
      </c>
      <c r="P25" t="s">
        <v>118</v>
      </c>
      <c r="Q25" t="s">
        <v>117</v>
      </c>
      <c r="R25" t="s">
        <v>117</v>
      </c>
      <c r="S25" t="s">
        <v>118</v>
      </c>
      <c r="T25" t="s">
        <v>117</v>
      </c>
      <c r="U25" t="s">
        <v>117</v>
      </c>
      <c r="V25" t="s">
        <v>118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L25" t="s">
        <v>117</v>
      </c>
      <c r="AM25" t="s">
        <v>117</v>
      </c>
      <c r="AN25" t="s">
        <v>118</v>
      </c>
      <c r="AO25" t="s">
        <v>117</v>
      </c>
      <c r="AP25" t="s">
        <v>117</v>
      </c>
      <c r="AQ25" t="s">
        <v>118</v>
      </c>
      <c r="AR25" t="s">
        <v>117</v>
      </c>
      <c r="AS25" t="s">
        <v>117</v>
      </c>
      <c r="AT25" t="s">
        <v>118</v>
      </c>
      <c r="AU25" t="s">
        <v>117</v>
      </c>
      <c r="AV25" t="s">
        <v>117</v>
      </c>
      <c r="AW25" t="s">
        <v>118</v>
      </c>
      <c r="AX25" t="s">
        <v>117</v>
      </c>
      <c r="BA25" t="s">
        <v>117</v>
      </c>
      <c r="BD25" t="s">
        <v>117</v>
      </c>
      <c r="BE25" t="s">
        <v>117</v>
      </c>
      <c r="BF25" t="s">
        <v>118</v>
      </c>
      <c r="BG25" t="s">
        <v>174</v>
      </c>
    </row>
    <row r="26" spans="1:59" x14ac:dyDescent="0.35">
      <c r="A26" t="s">
        <v>176</v>
      </c>
      <c r="B26" t="s">
        <v>117</v>
      </c>
      <c r="C26" t="s">
        <v>117</v>
      </c>
      <c r="D26" t="s">
        <v>118</v>
      </c>
      <c r="E26" t="s">
        <v>117</v>
      </c>
      <c r="F26" t="s">
        <v>117</v>
      </c>
      <c r="G26" t="s">
        <v>118</v>
      </c>
      <c r="H26" t="s">
        <v>117</v>
      </c>
      <c r="I26" t="s">
        <v>117</v>
      </c>
      <c r="J26" t="s">
        <v>118</v>
      </c>
      <c r="K26" t="s">
        <v>117</v>
      </c>
      <c r="L26" t="s">
        <v>117</v>
      </c>
      <c r="M26" t="s">
        <v>118</v>
      </c>
      <c r="N26" t="s">
        <v>117</v>
      </c>
      <c r="O26" t="s">
        <v>117</v>
      </c>
      <c r="P26" t="s">
        <v>118</v>
      </c>
      <c r="Q26" t="s">
        <v>117</v>
      </c>
      <c r="R26" t="s">
        <v>117</v>
      </c>
      <c r="S26" t="s">
        <v>118</v>
      </c>
      <c r="T26" t="s">
        <v>117</v>
      </c>
      <c r="U26" t="s">
        <v>117</v>
      </c>
      <c r="V26" t="s">
        <v>118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L26" t="s">
        <v>117</v>
      </c>
      <c r="AM26" t="s">
        <v>117</v>
      </c>
      <c r="AN26" t="s">
        <v>118</v>
      </c>
      <c r="AO26" t="s">
        <v>117</v>
      </c>
      <c r="AP26" t="s">
        <v>117</v>
      </c>
      <c r="AQ26" t="s">
        <v>118</v>
      </c>
      <c r="AR26" t="s">
        <v>117</v>
      </c>
      <c r="AS26" t="s">
        <v>117</v>
      </c>
      <c r="AT26" t="s">
        <v>118</v>
      </c>
      <c r="AU26" t="s">
        <v>117</v>
      </c>
      <c r="AV26" t="s">
        <v>117</v>
      </c>
      <c r="AW26" t="s">
        <v>118</v>
      </c>
      <c r="AX26" t="s">
        <v>117</v>
      </c>
      <c r="BA26" t="s">
        <v>117</v>
      </c>
      <c r="BD26" t="s">
        <v>117</v>
      </c>
      <c r="BE26" t="s">
        <v>117</v>
      </c>
      <c r="BF26" t="s">
        <v>118</v>
      </c>
      <c r="BG26" t="s">
        <v>174</v>
      </c>
    </row>
    <row r="27" spans="1:59" x14ac:dyDescent="0.35">
      <c r="A27" t="s">
        <v>177</v>
      </c>
      <c r="B27" t="s">
        <v>117</v>
      </c>
      <c r="C27" t="s">
        <v>117</v>
      </c>
      <c r="D27" t="s">
        <v>118</v>
      </c>
      <c r="E27" t="s">
        <v>117</v>
      </c>
      <c r="F27" t="s">
        <v>117</v>
      </c>
      <c r="G27" t="s">
        <v>118</v>
      </c>
      <c r="H27" t="s">
        <v>117</v>
      </c>
      <c r="I27" t="s">
        <v>117</v>
      </c>
      <c r="J27" t="s">
        <v>118</v>
      </c>
      <c r="K27" t="s">
        <v>117</v>
      </c>
      <c r="L27" t="s">
        <v>117</v>
      </c>
      <c r="M27" t="s">
        <v>118</v>
      </c>
      <c r="N27" t="s">
        <v>117</v>
      </c>
      <c r="O27" t="s">
        <v>117</v>
      </c>
      <c r="P27" t="s">
        <v>118</v>
      </c>
      <c r="Q27" t="s">
        <v>117</v>
      </c>
      <c r="R27" t="s">
        <v>117</v>
      </c>
      <c r="S27" t="s">
        <v>118</v>
      </c>
      <c r="T27" t="s">
        <v>117</v>
      </c>
      <c r="U27" t="s">
        <v>117</v>
      </c>
      <c r="V27" t="s">
        <v>118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L27" t="s">
        <v>117</v>
      </c>
      <c r="AM27" t="s">
        <v>117</v>
      </c>
      <c r="AN27" t="s">
        <v>118</v>
      </c>
      <c r="AO27" t="s">
        <v>117</v>
      </c>
      <c r="AP27" t="s">
        <v>117</v>
      </c>
      <c r="AQ27" t="s">
        <v>118</v>
      </c>
      <c r="AR27" t="s">
        <v>117</v>
      </c>
      <c r="AS27" t="s">
        <v>117</v>
      </c>
      <c r="AT27" t="s">
        <v>118</v>
      </c>
      <c r="AU27" t="s">
        <v>117</v>
      </c>
      <c r="AV27" t="s">
        <v>117</v>
      </c>
      <c r="AW27" t="s">
        <v>118</v>
      </c>
      <c r="AX27" t="s">
        <v>117</v>
      </c>
      <c r="BA27" t="s">
        <v>117</v>
      </c>
      <c r="BD27" t="s">
        <v>117</v>
      </c>
      <c r="BE27" t="s">
        <v>117</v>
      </c>
      <c r="BF27" t="s">
        <v>118</v>
      </c>
      <c r="BG27" t="s">
        <v>178</v>
      </c>
    </row>
    <row r="28" spans="1:59" x14ac:dyDescent="0.35">
      <c r="A28" t="s">
        <v>179</v>
      </c>
      <c r="B28" t="s">
        <v>117</v>
      </c>
      <c r="C28" t="s">
        <v>117</v>
      </c>
      <c r="D28" t="s">
        <v>118</v>
      </c>
      <c r="E28" t="s">
        <v>117</v>
      </c>
      <c r="F28" t="s">
        <v>117</v>
      </c>
      <c r="G28" t="s">
        <v>118</v>
      </c>
      <c r="H28" t="s">
        <v>117</v>
      </c>
      <c r="I28" t="s">
        <v>117</v>
      </c>
      <c r="J28" t="s">
        <v>118</v>
      </c>
      <c r="K28" t="s">
        <v>117</v>
      </c>
      <c r="L28" t="s">
        <v>117</v>
      </c>
      <c r="M28" t="s">
        <v>118</v>
      </c>
      <c r="N28" t="s">
        <v>117</v>
      </c>
      <c r="O28" t="s">
        <v>117</v>
      </c>
      <c r="P28" t="s">
        <v>118</v>
      </c>
      <c r="Q28" t="s">
        <v>117</v>
      </c>
      <c r="R28" t="s">
        <v>117</v>
      </c>
      <c r="S28" t="s">
        <v>118</v>
      </c>
      <c r="T28" t="s">
        <v>117</v>
      </c>
      <c r="U28" t="s">
        <v>117</v>
      </c>
      <c r="V28" t="s">
        <v>118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L28" t="s">
        <v>117</v>
      </c>
      <c r="AM28" t="s">
        <v>117</v>
      </c>
      <c r="AN28" t="s">
        <v>118</v>
      </c>
      <c r="AO28" t="s">
        <v>117</v>
      </c>
      <c r="AP28" t="s">
        <v>117</v>
      </c>
      <c r="AQ28" t="s">
        <v>118</v>
      </c>
      <c r="AR28" t="s">
        <v>117</v>
      </c>
      <c r="AS28" t="s">
        <v>117</v>
      </c>
      <c r="AT28" t="s">
        <v>118</v>
      </c>
      <c r="AU28" t="s">
        <v>117</v>
      </c>
      <c r="AV28" t="s">
        <v>117</v>
      </c>
      <c r="AW28" t="s">
        <v>118</v>
      </c>
      <c r="AX28" t="s">
        <v>117</v>
      </c>
      <c r="BA28" t="s">
        <v>117</v>
      </c>
      <c r="BD28" t="s">
        <v>117</v>
      </c>
      <c r="BE28" t="s">
        <v>117</v>
      </c>
      <c r="BF28" t="s">
        <v>118</v>
      </c>
      <c r="BG28" t="s">
        <v>178</v>
      </c>
    </row>
    <row r="29" spans="1:59" x14ac:dyDescent="0.35">
      <c r="A29" t="s">
        <v>180</v>
      </c>
      <c r="B29" t="s">
        <v>117</v>
      </c>
      <c r="C29" t="s">
        <v>117</v>
      </c>
      <c r="D29" t="s">
        <v>118</v>
      </c>
      <c r="E29" t="s">
        <v>117</v>
      </c>
      <c r="F29" t="s">
        <v>117</v>
      </c>
      <c r="G29" t="s">
        <v>118</v>
      </c>
      <c r="H29" t="s">
        <v>117</v>
      </c>
      <c r="I29" t="s">
        <v>117</v>
      </c>
      <c r="J29" t="s">
        <v>118</v>
      </c>
      <c r="K29" t="s">
        <v>117</v>
      </c>
      <c r="L29" t="s">
        <v>117</v>
      </c>
      <c r="M29" t="s">
        <v>118</v>
      </c>
      <c r="N29" t="s">
        <v>117</v>
      </c>
      <c r="O29" t="s">
        <v>117</v>
      </c>
      <c r="P29" t="s">
        <v>118</v>
      </c>
      <c r="Q29" t="s">
        <v>117</v>
      </c>
      <c r="R29" t="s">
        <v>117</v>
      </c>
      <c r="S29" t="s">
        <v>118</v>
      </c>
      <c r="T29" t="s">
        <v>117</v>
      </c>
      <c r="U29" t="s">
        <v>117</v>
      </c>
      <c r="V29" t="s">
        <v>118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L29" t="s">
        <v>117</v>
      </c>
      <c r="AM29" t="s">
        <v>117</v>
      </c>
      <c r="AN29" t="s">
        <v>118</v>
      </c>
      <c r="AO29" t="s">
        <v>117</v>
      </c>
      <c r="AP29" t="s">
        <v>117</v>
      </c>
      <c r="AQ29" t="s">
        <v>118</v>
      </c>
      <c r="AR29" t="s">
        <v>117</v>
      </c>
      <c r="AS29" t="s">
        <v>117</v>
      </c>
      <c r="AT29" t="s">
        <v>118</v>
      </c>
      <c r="AU29" t="s">
        <v>117</v>
      </c>
      <c r="AV29" t="s">
        <v>117</v>
      </c>
      <c r="AW29" t="s">
        <v>118</v>
      </c>
      <c r="AX29" t="s">
        <v>117</v>
      </c>
      <c r="BA29" t="s">
        <v>117</v>
      </c>
      <c r="BD29" t="s">
        <v>117</v>
      </c>
      <c r="BE29" t="s">
        <v>117</v>
      </c>
      <c r="BF29" t="s">
        <v>118</v>
      </c>
      <c r="BG29" t="s">
        <v>178</v>
      </c>
    </row>
    <row r="30" spans="1:59" x14ac:dyDescent="0.35">
      <c r="A30" t="s">
        <v>181</v>
      </c>
      <c r="B30" t="s">
        <v>117</v>
      </c>
      <c r="C30" t="s">
        <v>117</v>
      </c>
      <c r="D30" t="s">
        <v>118</v>
      </c>
      <c r="E30" t="s">
        <v>117</v>
      </c>
      <c r="F30" t="s">
        <v>117</v>
      </c>
      <c r="G30" t="s">
        <v>118</v>
      </c>
      <c r="H30" t="s">
        <v>117</v>
      </c>
      <c r="I30" t="s">
        <v>117</v>
      </c>
      <c r="J30" t="s">
        <v>118</v>
      </c>
      <c r="K30" t="s">
        <v>117</v>
      </c>
      <c r="L30" t="s">
        <v>117</v>
      </c>
      <c r="M30" t="s">
        <v>118</v>
      </c>
      <c r="N30" t="s">
        <v>117</v>
      </c>
      <c r="O30" t="s">
        <v>117</v>
      </c>
      <c r="P30" t="s">
        <v>118</v>
      </c>
      <c r="Q30" t="s">
        <v>117</v>
      </c>
      <c r="R30" t="s">
        <v>117</v>
      </c>
      <c r="S30" t="s">
        <v>118</v>
      </c>
      <c r="T30" t="s">
        <v>117</v>
      </c>
      <c r="U30" t="s">
        <v>117</v>
      </c>
      <c r="V30" t="s">
        <v>118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L30" t="s">
        <v>117</v>
      </c>
      <c r="AM30" t="s">
        <v>117</v>
      </c>
      <c r="AN30" t="s">
        <v>118</v>
      </c>
      <c r="AO30" t="s">
        <v>117</v>
      </c>
      <c r="AP30" t="s">
        <v>117</v>
      </c>
      <c r="AQ30" t="s">
        <v>118</v>
      </c>
      <c r="AR30" t="s">
        <v>117</v>
      </c>
      <c r="AS30" t="s">
        <v>117</v>
      </c>
      <c r="AT30" t="s">
        <v>118</v>
      </c>
      <c r="AU30" t="s">
        <v>117</v>
      </c>
      <c r="AV30" t="s">
        <v>117</v>
      </c>
      <c r="AW30" t="s">
        <v>118</v>
      </c>
      <c r="AX30" t="s">
        <v>117</v>
      </c>
      <c r="BA30" t="s">
        <v>117</v>
      </c>
      <c r="BD30" t="s">
        <v>117</v>
      </c>
      <c r="BE30" t="s">
        <v>117</v>
      </c>
      <c r="BF30" t="s">
        <v>118</v>
      </c>
      <c r="BG30" t="s">
        <v>178</v>
      </c>
    </row>
    <row r="31" spans="1:59" x14ac:dyDescent="0.35">
      <c r="A31" t="s">
        <v>182</v>
      </c>
      <c r="B31" t="s">
        <v>117</v>
      </c>
      <c r="C31" t="s">
        <v>117</v>
      </c>
      <c r="D31" t="s">
        <v>118</v>
      </c>
      <c r="E31" t="s">
        <v>117</v>
      </c>
      <c r="F31" t="s">
        <v>117</v>
      </c>
      <c r="G31" t="s">
        <v>118</v>
      </c>
      <c r="H31" t="s">
        <v>117</v>
      </c>
      <c r="I31" t="s">
        <v>117</v>
      </c>
      <c r="J31" t="s">
        <v>118</v>
      </c>
      <c r="K31" t="s">
        <v>117</v>
      </c>
      <c r="L31" t="s">
        <v>117</v>
      </c>
      <c r="M31" t="s">
        <v>118</v>
      </c>
      <c r="N31" t="s">
        <v>117</v>
      </c>
      <c r="O31" t="s">
        <v>117</v>
      </c>
      <c r="P31" t="s">
        <v>118</v>
      </c>
      <c r="Q31" t="s">
        <v>117</v>
      </c>
      <c r="R31" t="s">
        <v>117</v>
      </c>
      <c r="S31" t="s">
        <v>118</v>
      </c>
      <c r="T31" t="s">
        <v>117</v>
      </c>
      <c r="U31" t="s">
        <v>117</v>
      </c>
      <c r="V31" t="s">
        <v>118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L31" t="s">
        <v>117</v>
      </c>
      <c r="AM31" t="s">
        <v>117</v>
      </c>
      <c r="AN31" t="s">
        <v>118</v>
      </c>
      <c r="AO31" t="s">
        <v>117</v>
      </c>
      <c r="AP31" t="s">
        <v>117</v>
      </c>
      <c r="AQ31" t="s">
        <v>118</v>
      </c>
      <c r="AR31" t="s">
        <v>117</v>
      </c>
      <c r="AS31" t="s">
        <v>117</v>
      </c>
      <c r="AT31" t="s">
        <v>118</v>
      </c>
      <c r="AU31" t="s">
        <v>117</v>
      </c>
      <c r="AV31" t="s">
        <v>117</v>
      </c>
      <c r="AW31" t="s">
        <v>118</v>
      </c>
      <c r="AX31" t="s">
        <v>117</v>
      </c>
      <c r="BA31" t="s">
        <v>117</v>
      </c>
      <c r="BD31" t="s">
        <v>117</v>
      </c>
      <c r="BE31" t="s">
        <v>117</v>
      </c>
      <c r="BF31" t="s">
        <v>118</v>
      </c>
      <c r="BG31" t="s">
        <v>178</v>
      </c>
    </row>
    <row r="32" spans="1:59" x14ac:dyDescent="0.35">
      <c r="A32" t="s">
        <v>183</v>
      </c>
      <c r="B32" t="s">
        <v>117</v>
      </c>
      <c r="C32" t="s">
        <v>117</v>
      </c>
      <c r="D32" t="s">
        <v>118</v>
      </c>
      <c r="E32" t="s">
        <v>117</v>
      </c>
      <c r="F32" t="s">
        <v>117</v>
      </c>
      <c r="G32" t="s">
        <v>118</v>
      </c>
      <c r="H32" t="s">
        <v>117</v>
      </c>
      <c r="I32" t="s">
        <v>117</v>
      </c>
      <c r="J32" t="s">
        <v>118</v>
      </c>
      <c r="K32" t="s">
        <v>117</v>
      </c>
      <c r="L32" t="s">
        <v>117</v>
      </c>
      <c r="M32" t="s">
        <v>118</v>
      </c>
      <c r="N32" t="s">
        <v>117</v>
      </c>
      <c r="O32" t="s">
        <v>117</v>
      </c>
      <c r="P32" t="s">
        <v>118</v>
      </c>
      <c r="Q32" t="s">
        <v>117</v>
      </c>
      <c r="R32" t="s">
        <v>117</v>
      </c>
      <c r="S32" t="s">
        <v>118</v>
      </c>
      <c r="T32" t="s">
        <v>117</v>
      </c>
      <c r="U32" t="s">
        <v>117</v>
      </c>
      <c r="V32" t="s">
        <v>118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L32" t="s">
        <v>117</v>
      </c>
      <c r="AM32" t="s">
        <v>117</v>
      </c>
      <c r="AN32" t="s">
        <v>118</v>
      </c>
      <c r="AO32" t="s">
        <v>117</v>
      </c>
      <c r="AP32" t="s">
        <v>117</v>
      </c>
      <c r="AQ32" t="s">
        <v>118</v>
      </c>
      <c r="AR32" t="s">
        <v>117</v>
      </c>
      <c r="AS32" t="s">
        <v>117</v>
      </c>
      <c r="AT32" t="s">
        <v>118</v>
      </c>
      <c r="AU32" t="s">
        <v>117</v>
      </c>
      <c r="AV32" t="s">
        <v>117</v>
      </c>
      <c r="AW32" t="s">
        <v>118</v>
      </c>
      <c r="AX32" t="s">
        <v>117</v>
      </c>
      <c r="BA32" t="s">
        <v>117</v>
      </c>
      <c r="BD32" t="s">
        <v>117</v>
      </c>
      <c r="BE32" t="s">
        <v>117</v>
      </c>
      <c r="BF32" t="s">
        <v>118</v>
      </c>
      <c r="BG32" t="s">
        <v>178</v>
      </c>
    </row>
    <row r="33" spans="1:59" x14ac:dyDescent="0.35">
      <c r="A33" t="s">
        <v>184</v>
      </c>
      <c r="B33" t="s">
        <v>117</v>
      </c>
      <c r="C33" t="s">
        <v>117</v>
      </c>
      <c r="D33" t="s">
        <v>118</v>
      </c>
      <c r="E33" t="s">
        <v>117</v>
      </c>
      <c r="F33" t="s">
        <v>117</v>
      </c>
      <c r="G33" t="s">
        <v>118</v>
      </c>
      <c r="H33" t="s">
        <v>117</v>
      </c>
      <c r="I33" t="s">
        <v>117</v>
      </c>
      <c r="J33" t="s">
        <v>118</v>
      </c>
      <c r="K33" t="s">
        <v>117</v>
      </c>
      <c r="L33" t="s">
        <v>117</v>
      </c>
      <c r="M33" t="s">
        <v>118</v>
      </c>
      <c r="N33" t="s">
        <v>117</v>
      </c>
      <c r="O33" t="s">
        <v>117</v>
      </c>
      <c r="P33" t="s">
        <v>118</v>
      </c>
      <c r="Q33" t="s">
        <v>117</v>
      </c>
      <c r="R33" t="s">
        <v>117</v>
      </c>
      <c r="S33" t="s">
        <v>118</v>
      </c>
      <c r="T33" t="s">
        <v>117</v>
      </c>
      <c r="U33" t="s">
        <v>117</v>
      </c>
      <c r="V33" t="s">
        <v>118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L33" t="s">
        <v>117</v>
      </c>
      <c r="AM33" t="s">
        <v>117</v>
      </c>
      <c r="AN33" t="s">
        <v>118</v>
      </c>
      <c r="AO33" t="s">
        <v>117</v>
      </c>
      <c r="AP33" t="s">
        <v>117</v>
      </c>
      <c r="AQ33" t="s">
        <v>118</v>
      </c>
      <c r="AR33" t="s">
        <v>117</v>
      </c>
      <c r="AS33" t="s">
        <v>117</v>
      </c>
      <c r="AT33" t="s">
        <v>118</v>
      </c>
      <c r="AU33" t="s">
        <v>117</v>
      </c>
      <c r="AV33" t="s">
        <v>117</v>
      </c>
      <c r="AW33" t="s">
        <v>118</v>
      </c>
      <c r="AX33" t="s">
        <v>117</v>
      </c>
      <c r="BA33" t="s">
        <v>117</v>
      </c>
      <c r="BD33" t="s">
        <v>117</v>
      </c>
      <c r="BE33" t="s">
        <v>117</v>
      </c>
      <c r="BF33" t="s">
        <v>118</v>
      </c>
      <c r="BG33" t="s">
        <v>178</v>
      </c>
    </row>
    <row r="34" spans="1:59" x14ac:dyDescent="0.35">
      <c r="A34" t="s">
        <v>185</v>
      </c>
      <c r="B34" t="s">
        <v>117</v>
      </c>
      <c r="C34" t="s">
        <v>117</v>
      </c>
      <c r="D34" t="s">
        <v>118</v>
      </c>
      <c r="E34" t="s">
        <v>117</v>
      </c>
      <c r="F34" t="s">
        <v>117</v>
      </c>
      <c r="G34" t="s">
        <v>118</v>
      </c>
      <c r="H34" t="s">
        <v>117</v>
      </c>
      <c r="I34" t="s">
        <v>117</v>
      </c>
      <c r="J34" t="s">
        <v>118</v>
      </c>
      <c r="K34" t="s">
        <v>117</v>
      </c>
      <c r="L34" t="s">
        <v>117</v>
      </c>
      <c r="M34" t="s">
        <v>118</v>
      </c>
      <c r="N34" t="s">
        <v>117</v>
      </c>
      <c r="O34" t="s">
        <v>117</v>
      </c>
      <c r="P34" t="s">
        <v>118</v>
      </c>
      <c r="Q34" t="s">
        <v>117</v>
      </c>
      <c r="R34" t="s">
        <v>117</v>
      </c>
      <c r="S34" t="s">
        <v>118</v>
      </c>
      <c r="T34" t="s">
        <v>117</v>
      </c>
      <c r="U34" t="s">
        <v>117</v>
      </c>
      <c r="V34" t="s">
        <v>118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L34" t="s">
        <v>117</v>
      </c>
      <c r="AM34" t="s">
        <v>117</v>
      </c>
      <c r="AN34" t="s">
        <v>118</v>
      </c>
      <c r="AO34" t="s">
        <v>117</v>
      </c>
      <c r="AP34" t="s">
        <v>117</v>
      </c>
      <c r="AQ34" t="s">
        <v>118</v>
      </c>
      <c r="AR34" t="s">
        <v>117</v>
      </c>
      <c r="AS34" t="s">
        <v>117</v>
      </c>
      <c r="AT34" t="s">
        <v>118</v>
      </c>
      <c r="AU34" t="s">
        <v>117</v>
      </c>
      <c r="AV34" t="s">
        <v>117</v>
      </c>
      <c r="AW34" t="s">
        <v>118</v>
      </c>
      <c r="AX34" t="s">
        <v>117</v>
      </c>
      <c r="BA34" t="s">
        <v>117</v>
      </c>
      <c r="BD34" t="s">
        <v>117</v>
      </c>
      <c r="BE34" t="s">
        <v>117</v>
      </c>
      <c r="BF34" t="s">
        <v>118</v>
      </c>
      <c r="BG34" t="s">
        <v>178</v>
      </c>
    </row>
    <row r="35" spans="1:59" x14ac:dyDescent="0.35">
      <c r="A35" t="s">
        <v>186</v>
      </c>
      <c r="B35" t="s">
        <v>117</v>
      </c>
      <c r="C35" t="s">
        <v>117</v>
      </c>
      <c r="D35" t="s">
        <v>118</v>
      </c>
      <c r="E35" t="s">
        <v>117</v>
      </c>
      <c r="F35" t="s">
        <v>117</v>
      </c>
      <c r="G35" t="s">
        <v>118</v>
      </c>
      <c r="H35" t="s">
        <v>117</v>
      </c>
      <c r="I35" t="s">
        <v>117</v>
      </c>
      <c r="J35" t="s">
        <v>118</v>
      </c>
      <c r="K35" t="s">
        <v>117</v>
      </c>
      <c r="L35" t="s">
        <v>117</v>
      </c>
      <c r="M35" t="s">
        <v>118</v>
      </c>
      <c r="N35" t="s">
        <v>117</v>
      </c>
      <c r="O35" t="s">
        <v>117</v>
      </c>
      <c r="P35" t="s">
        <v>118</v>
      </c>
      <c r="Q35" t="s">
        <v>117</v>
      </c>
      <c r="R35" t="s">
        <v>117</v>
      </c>
      <c r="S35" t="s">
        <v>118</v>
      </c>
      <c r="T35" t="s">
        <v>117</v>
      </c>
      <c r="U35" t="s">
        <v>117</v>
      </c>
      <c r="V35" t="s">
        <v>118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L35" t="s">
        <v>117</v>
      </c>
      <c r="AM35" t="s">
        <v>117</v>
      </c>
      <c r="AN35" t="s">
        <v>118</v>
      </c>
      <c r="AO35" t="s">
        <v>117</v>
      </c>
      <c r="AP35" t="s">
        <v>117</v>
      </c>
      <c r="AQ35" t="s">
        <v>118</v>
      </c>
      <c r="AR35" t="s">
        <v>117</v>
      </c>
      <c r="AS35" t="s">
        <v>117</v>
      </c>
      <c r="AT35" t="s">
        <v>118</v>
      </c>
      <c r="AU35" t="s">
        <v>117</v>
      </c>
      <c r="AV35" t="s">
        <v>117</v>
      </c>
      <c r="AW35" t="s">
        <v>118</v>
      </c>
      <c r="AX35" t="s">
        <v>117</v>
      </c>
      <c r="BA35" t="s">
        <v>117</v>
      </c>
      <c r="BD35" t="s">
        <v>117</v>
      </c>
      <c r="BE35" t="s">
        <v>117</v>
      </c>
      <c r="BF35" t="s">
        <v>118</v>
      </c>
      <c r="BG35" t="s">
        <v>178</v>
      </c>
    </row>
    <row r="36" spans="1:59" x14ac:dyDescent="0.35">
      <c r="A36" t="s">
        <v>187</v>
      </c>
      <c r="B36" t="s">
        <v>117</v>
      </c>
      <c r="C36" t="s">
        <v>117</v>
      </c>
      <c r="D36" t="s">
        <v>118</v>
      </c>
      <c r="E36" t="s">
        <v>117</v>
      </c>
      <c r="F36" t="s">
        <v>117</v>
      </c>
      <c r="G36" t="s">
        <v>118</v>
      </c>
      <c r="H36" t="s">
        <v>117</v>
      </c>
      <c r="I36" t="s">
        <v>117</v>
      </c>
      <c r="J36" t="s">
        <v>118</v>
      </c>
      <c r="K36" t="s">
        <v>117</v>
      </c>
      <c r="L36" t="s">
        <v>117</v>
      </c>
      <c r="M36" t="s">
        <v>118</v>
      </c>
      <c r="N36" t="s">
        <v>117</v>
      </c>
      <c r="O36" t="s">
        <v>117</v>
      </c>
      <c r="P36" t="s">
        <v>118</v>
      </c>
      <c r="Q36" t="s">
        <v>117</v>
      </c>
      <c r="R36" t="s">
        <v>117</v>
      </c>
      <c r="S36" t="s">
        <v>118</v>
      </c>
      <c r="T36" t="s">
        <v>117</v>
      </c>
      <c r="U36" t="s">
        <v>117</v>
      </c>
      <c r="V36" t="s">
        <v>118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L36" t="s">
        <v>117</v>
      </c>
      <c r="AM36" t="s">
        <v>117</v>
      </c>
      <c r="AN36" t="s">
        <v>118</v>
      </c>
      <c r="AO36" t="s">
        <v>117</v>
      </c>
      <c r="AP36" t="s">
        <v>117</v>
      </c>
      <c r="AQ36" t="s">
        <v>118</v>
      </c>
      <c r="AR36" t="s">
        <v>117</v>
      </c>
      <c r="AS36" t="s">
        <v>117</v>
      </c>
      <c r="AT36" t="s">
        <v>118</v>
      </c>
      <c r="AU36" t="s">
        <v>117</v>
      </c>
      <c r="AV36" t="s">
        <v>117</v>
      </c>
      <c r="AW36" t="s">
        <v>118</v>
      </c>
      <c r="AX36" t="s">
        <v>117</v>
      </c>
      <c r="BA36" t="s">
        <v>117</v>
      </c>
      <c r="BD36" t="s">
        <v>117</v>
      </c>
      <c r="BE36" t="s">
        <v>117</v>
      </c>
      <c r="BF36" t="s">
        <v>118</v>
      </c>
      <c r="BG36" t="s">
        <v>178</v>
      </c>
    </row>
    <row r="37" spans="1:59" x14ac:dyDescent="0.35">
      <c r="A37" t="s">
        <v>188</v>
      </c>
      <c r="B37" t="s">
        <v>117</v>
      </c>
      <c r="C37" t="s">
        <v>117</v>
      </c>
      <c r="D37" t="s">
        <v>118</v>
      </c>
      <c r="E37" t="s">
        <v>117</v>
      </c>
      <c r="F37" t="s">
        <v>117</v>
      </c>
      <c r="G37" t="s">
        <v>118</v>
      </c>
      <c r="H37" t="s">
        <v>117</v>
      </c>
      <c r="I37" t="s">
        <v>117</v>
      </c>
      <c r="J37" t="s">
        <v>118</v>
      </c>
      <c r="K37" t="s">
        <v>117</v>
      </c>
      <c r="L37" t="s">
        <v>117</v>
      </c>
      <c r="M37" t="s">
        <v>118</v>
      </c>
      <c r="N37" t="s">
        <v>117</v>
      </c>
      <c r="O37" t="s">
        <v>117</v>
      </c>
      <c r="P37" t="s">
        <v>118</v>
      </c>
      <c r="Q37" t="s">
        <v>117</v>
      </c>
      <c r="R37" t="s">
        <v>117</v>
      </c>
      <c r="S37" t="s">
        <v>118</v>
      </c>
      <c r="T37" t="s">
        <v>117</v>
      </c>
      <c r="U37" t="s">
        <v>117</v>
      </c>
      <c r="V37" t="s">
        <v>118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L37" t="s">
        <v>117</v>
      </c>
      <c r="AM37" t="s">
        <v>117</v>
      </c>
      <c r="AN37" t="s">
        <v>118</v>
      </c>
      <c r="AO37" t="s">
        <v>117</v>
      </c>
      <c r="AP37" t="s">
        <v>117</v>
      </c>
      <c r="AQ37" t="s">
        <v>118</v>
      </c>
      <c r="AR37" t="s">
        <v>117</v>
      </c>
      <c r="AS37" t="s">
        <v>117</v>
      </c>
      <c r="AT37" t="s">
        <v>118</v>
      </c>
      <c r="AU37" t="s">
        <v>117</v>
      </c>
      <c r="AV37" t="s">
        <v>117</v>
      </c>
      <c r="AW37" t="s">
        <v>118</v>
      </c>
      <c r="AX37" t="s">
        <v>117</v>
      </c>
      <c r="BA37" t="s">
        <v>117</v>
      </c>
      <c r="BD37" t="s">
        <v>117</v>
      </c>
      <c r="BE37" t="s">
        <v>117</v>
      </c>
      <c r="BF37" t="s">
        <v>118</v>
      </c>
      <c r="BG37" t="s">
        <v>178</v>
      </c>
    </row>
    <row r="38" spans="1:59" x14ac:dyDescent="0.35">
      <c r="A38" t="s">
        <v>189</v>
      </c>
      <c r="B38" t="s">
        <v>117</v>
      </c>
      <c r="C38" t="s">
        <v>117</v>
      </c>
      <c r="D38" t="s">
        <v>118</v>
      </c>
      <c r="E38" t="s">
        <v>117</v>
      </c>
      <c r="F38" t="s">
        <v>117</v>
      </c>
      <c r="G38" t="s">
        <v>118</v>
      </c>
      <c r="H38" t="s">
        <v>117</v>
      </c>
      <c r="I38" t="s">
        <v>117</v>
      </c>
      <c r="J38" t="s">
        <v>118</v>
      </c>
      <c r="K38" t="s">
        <v>117</v>
      </c>
      <c r="L38" t="s">
        <v>117</v>
      </c>
      <c r="M38" t="s">
        <v>118</v>
      </c>
      <c r="N38" t="s">
        <v>117</v>
      </c>
      <c r="O38" t="s">
        <v>117</v>
      </c>
      <c r="P38" t="s">
        <v>118</v>
      </c>
      <c r="Q38" t="s">
        <v>117</v>
      </c>
      <c r="R38" t="s">
        <v>117</v>
      </c>
      <c r="S38" t="s">
        <v>118</v>
      </c>
      <c r="T38" t="s">
        <v>117</v>
      </c>
      <c r="U38" t="s">
        <v>117</v>
      </c>
      <c r="V38" t="s">
        <v>118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L38" t="s">
        <v>117</v>
      </c>
      <c r="AM38" t="s">
        <v>117</v>
      </c>
      <c r="AN38" t="s">
        <v>118</v>
      </c>
      <c r="AO38" t="s">
        <v>117</v>
      </c>
      <c r="AP38" t="s">
        <v>117</v>
      </c>
      <c r="AQ38" t="s">
        <v>118</v>
      </c>
      <c r="AR38" t="s">
        <v>117</v>
      </c>
      <c r="AS38" t="s">
        <v>117</v>
      </c>
      <c r="AT38" t="s">
        <v>118</v>
      </c>
      <c r="AU38" t="s">
        <v>117</v>
      </c>
      <c r="AV38" t="s">
        <v>117</v>
      </c>
      <c r="AW38" t="s">
        <v>118</v>
      </c>
      <c r="AX38" t="s">
        <v>117</v>
      </c>
      <c r="BA38" t="s">
        <v>117</v>
      </c>
      <c r="BD38" t="s">
        <v>117</v>
      </c>
      <c r="BE38" t="s">
        <v>117</v>
      </c>
      <c r="BF38" t="s">
        <v>118</v>
      </c>
      <c r="BG38" t="s">
        <v>178</v>
      </c>
    </row>
    <row r="39" spans="1:59" x14ac:dyDescent="0.35">
      <c r="A39" t="s">
        <v>190</v>
      </c>
      <c r="B39" t="s">
        <v>117</v>
      </c>
      <c r="C39" t="s">
        <v>117</v>
      </c>
      <c r="D39" t="s">
        <v>118</v>
      </c>
      <c r="E39" t="s">
        <v>117</v>
      </c>
      <c r="F39" t="s">
        <v>117</v>
      </c>
      <c r="G39" t="s">
        <v>118</v>
      </c>
      <c r="H39" t="s">
        <v>117</v>
      </c>
      <c r="I39" t="s">
        <v>117</v>
      </c>
      <c r="J39" t="s">
        <v>118</v>
      </c>
      <c r="K39" t="s">
        <v>117</v>
      </c>
      <c r="L39" t="s">
        <v>117</v>
      </c>
      <c r="M39" t="s">
        <v>118</v>
      </c>
      <c r="N39" t="s">
        <v>117</v>
      </c>
      <c r="O39" t="s">
        <v>117</v>
      </c>
      <c r="P39" t="s">
        <v>118</v>
      </c>
      <c r="Q39" t="s">
        <v>117</v>
      </c>
      <c r="R39" t="s">
        <v>117</v>
      </c>
      <c r="S39" t="s">
        <v>118</v>
      </c>
      <c r="T39" t="s">
        <v>117</v>
      </c>
      <c r="U39" t="s">
        <v>117</v>
      </c>
      <c r="V39" t="s">
        <v>118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L39" t="s">
        <v>117</v>
      </c>
      <c r="AM39" t="s">
        <v>117</v>
      </c>
      <c r="AN39" t="s">
        <v>118</v>
      </c>
      <c r="AO39" t="s">
        <v>117</v>
      </c>
      <c r="AP39" t="s">
        <v>117</v>
      </c>
      <c r="AQ39" t="s">
        <v>118</v>
      </c>
      <c r="AR39" t="s">
        <v>117</v>
      </c>
      <c r="AS39" t="s">
        <v>117</v>
      </c>
      <c r="AT39" t="s">
        <v>118</v>
      </c>
      <c r="AU39" t="s">
        <v>117</v>
      </c>
      <c r="AV39" t="s">
        <v>117</v>
      </c>
      <c r="AW39" t="s">
        <v>118</v>
      </c>
      <c r="AX39" t="s">
        <v>117</v>
      </c>
      <c r="BA39" t="s">
        <v>117</v>
      </c>
      <c r="BD39" t="s">
        <v>117</v>
      </c>
      <c r="BE39" t="s">
        <v>117</v>
      </c>
      <c r="BF39" t="s">
        <v>118</v>
      </c>
      <c r="BG39" t="s">
        <v>191</v>
      </c>
    </row>
    <row r="40" spans="1:59" x14ac:dyDescent="0.35">
      <c r="A40" t="s">
        <v>192</v>
      </c>
      <c r="B40" t="s">
        <v>117</v>
      </c>
      <c r="C40" t="s">
        <v>117</v>
      </c>
      <c r="D40" t="s">
        <v>118</v>
      </c>
      <c r="E40" t="s">
        <v>117</v>
      </c>
      <c r="F40" t="s">
        <v>117</v>
      </c>
      <c r="G40" t="s">
        <v>118</v>
      </c>
      <c r="H40" t="s">
        <v>117</v>
      </c>
      <c r="I40" t="s">
        <v>117</v>
      </c>
      <c r="J40" t="s">
        <v>118</v>
      </c>
      <c r="K40" t="s">
        <v>117</v>
      </c>
      <c r="L40" t="s">
        <v>117</v>
      </c>
      <c r="M40" t="s">
        <v>118</v>
      </c>
      <c r="N40" t="s">
        <v>117</v>
      </c>
      <c r="O40" t="s">
        <v>117</v>
      </c>
      <c r="P40" t="s">
        <v>118</v>
      </c>
      <c r="Q40" t="s">
        <v>117</v>
      </c>
      <c r="R40" t="s">
        <v>117</v>
      </c>
      <c r="S40" t="s">
        <v>118</v>
      </c>
      <c r="T40" t="s">
        <v>117</v>
      </c>
      <c r="U40" t="s">
        <v>117</v>
      </c>
      <c r="V40" t="s">
        <v>118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L40" t="s">
        <v>117</v>
      </c>
      <c r="AM40" t="s">
        <v>117</v>
      </c>
      <c r="AN40" t="s">
        <v>118</v>
      </c>
      <c r="AO40" t="s">
        <v>117</v>
      </c>
      <c r="AP40" t="s">
        <v>117</v>
      </c>
      <c r="AQ40" t="s">
        <v>118</v>
      </c>
      <c r="AR40" t="s">
        <v>117</v>
      </c>
      <c r="AS40" t="s">
        <v>117</v>
      </c>
      <c r="AT40" t="s">
        <v>118</v>
      </c>
      <c r="AU40" t="s">
        <v>117</v>
      </c>
      <c r="AV40" t="s">
        <v>117</v>
      </c>
      <c r="AW40" t="s">
        <v>118</v>
      </c>
      <c r="AX40" t="s">
        <v>117</v>
      </c>
      <c r="BA40" t="s">
        <v>117</v>
      </c>
      <c r="BD40" t="s">
        <v>117</v>
      </c>
      <c r="BE40" t="s">
        <v>117</v>
      </c>
      <c r="BF40" t="s">
        <v>118</v>
      </c>
      <c r="BG40" t="s">
        <v>193</v>
      </c>
    </row>
    <row r="41" spans="1:59" x14ac:dyDescent="0.35">
      <c r="A41" t="s">
        <v>194</v>
      </c>
      <c r="B41" t="s">
        <v>117</v>
      </c>
      <c r="C41" t="s">
        <v>117</v>
      </c>
      <c r="D41" t="s">
        <v>118</v>
      </c>
      <c r="E41" t="s">
        <v>117</v>
      </c>
      <c r="F41" t="s">
        <v>117</v>
      </c>
      <c r="G41" t="s">
        <v>118</v>
      </c>
      <c r="H41" t="s">
        <v>117</v>
      </c>
      <c r="I41" t="s">
        <v>117</v>
      </c>
      <c r="J41" t="s">
        <v>118</v>
      </c>
      <c r="K41" t="s">
        <v>117</v>
      </c>
      <c r="L41" t="s">
        <v>117</v>
      </c>
      <c r="M41" t="s">
        <v>118</v>
      </c>
      <c r="N41" t="s">
        <v>117</v>
      </c>
      <c r="O41" t="s">
        <v>117</v>
      </c>
      <c r="P41" t="s">
        <v>118</v>
      </c>
      <c r="Q41" t="s">
        <v>117</v>
      </c>
      <c r="R41" t="s">
        <v>117</v>
      </c>
      <c r="S41" t="s">
        <v>118</v>
      </c>
      <c r="T41" t="s">
        <v>117</v>
      </c>
      <c r="U41" t="s">
        <v>117</v>
      </c>
      <c r="V41" t="s">
        <v>118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L41" t="s">
        <v>117</v>
      </c>
      <c r="AM41" t="s">
        <v>117</v>
      </c>
      <c r="AN41" t="s">
        <v>118</v>
      </c>
      <c r="AO41" t="s">
        <v>117</v>
      </c>
      <c r="AP41" t="s">
        <v>117</v>
      </c>
      <c r="AQ41" t="s">
        <v>118</v>
      </c>
      <c r="AR41" t="s">
        <v>117</v>
      </c>
      <c r="AS41" t="s">
        <v>117</v>
      </c>
      <c r="AT41" t="s">
        <v>118</v>
      </c>
      <c r="AU41" t="s">
        <v>117</v>
      </c>
      <c r="AV41" t="s">
        <v>117</v>
      </c>
      <c r="AW41" t="s">
        <v>118</v>
      </c>
      <c r="AX41" t="s">
        <v>117</v>
      </c>
      <c r="BA41" t="s">
        <v>117</v>
      </c>
      <c r="BD41" t="s">
        <v>117</v>
      </c>
      <c r="BE41" t="s">
        <v>117</v>
      </c>
      <c r="BF41" t="s">
        <v>118</v>
      </c>
      <c r="BG41" t="s">
        <v>196</v>
      </c>
    </row>
    <row r="42" spans="1:59" x14ac:dyDescent="0.35">
      <c r="A42" t="s">
        <v>197</v>
      </c>
      <c r="B42" t="s">
        <v>762</v>
      </c>
      <c r="C42" t="s">
        <v>763</v>
      </c>
      <c r="D42" t="s">
        <v>764</v>
      </c>
      <c r="E42" t="s">
        <v>117</v>
      </c>
      <c r="F42" t="s">
        <v>117</v>
      </c>
      <c r="G42" t="s">
        <v>118</v>
      </c>
      <c r="H42" t="s">
        <v>117</v>
      </c>
      <c r="I42" t="s">
        <v>117</v>
      </c>
      <c r="J42" t="s">
        <v>118</v>
      </c>
      <c r="K42" t="s">
        <v>117</v>
      </c>
      <c r="L42" t="s">
        <v>117</v>
      </c>
      <c r="M42" t="s">
        <v>118</v>
      </c>
      <c r="N42" t="s">
        <v>117</v>
      </c>
      <c r="O42" t="s">
        <v>765</v>
      </c>
      <c r="P42" t="s">
        <v>118</v>
      </c>
      <c r="Q42" t="s">
        <v>117</v>
      </c>
      <c r="R42" t="s">
        <v>117</v>
      </c>
      <c r="S42" t="s">
        <v>118</v>
      </c>
      <c r="T42" t="s">
        <v>762</v>
      </c>
      <c r="U42" t="s">
        <v>766</v>
      </c>
      <c r="V42" t="s">
        <v>198</v>
      </c>
      <c r="W42" t="s">
        <v>117</v>
      </c>
      <c r="X42" t="s">
        <v>117</v>
      </c>
      <c r="Y42" t="s">
        <v>117</v>
      </c>
      <c r="Z42" t="s">
        <v>767</v>
      </c>
      <c r="AA42" t="s">
        <v>199</v>
      </c>
      <c r="AC42" t="s">
        <v>768</v>
      </c>
      <c r="AD42" t="s">
        <v>200</v>
      </c>
      <c r="AE42" t="s">
        <v>769</v>
      </c>
      <c r="AF42" t="s">
        <v>117</v>
      </c>
      <c r="AG42" t="s">
        <v>117</v>
      </c>
      <c r="AH42" t="s">
        <v>117</v>
      </c>
      <c r="AL42" t="s">
        <v>770</v>
      </c>
      <c r="AM42" t="s">
        <v>771</v>
      </c>
      <c r="AN42" t="s">
        <v>198</v>
      </c>
      <c r="AO42" t="s">
        <v>117</v>
      </c>
      <c r="AP42" t="s">
        <v>117</v>
      </c>
      <c r="AQ42" t="s">
        <v>118</v>
      </c>
      <c r="AR42" t="s">
        <v>770</v>
      </c>
      <c r="AS42" t="s">
        <v>771</v>
      </c>
      <c r="AT42" t="s">
        <v>198</v>
      </c>
      <c r="AU42" t="s">
        <v>770</v>
      </c>
      <c r="AV42" t="s">
        <v>771</v>
      </c>
      <c r="AW42" t="s">
        <v>198</v>
      </c>
      <c r="AX42" t="s">
        <v>117</v>
      </c>
      <c r="BA42" t="s">
        <v>117</v>
      </c>
      <c r="BD42" t="s">
        <v>770</v>
      </c>
      <c r="BE42" t="s">
        <v>771</v>
      </c>
      <c r="BF42" t="s">
        <v>198</v>
      </c>
      <c r="BG42" t="s">
        <v>198</v>
      </c>
    </row>
    <row r="43" spans="1:59" x14ac:dyDescent="0.35">
      <c r="A43" t="s">
        <v>201</v>
      </c>
      <c r="B43" t="s">
        <v>117</v>
      </c>
      <c r="C43" t="s">
        <v>117</v>
      </c>
      <c r="D43" t="s">
        <v>118</v>
      </c>
      <c r="E43" t="s">
        <v>117</v>
      </c>
      <c r="F43" t="s">
        <v>117</v>
      </c>
      <c r="G43" t="s">
        <v>118</v>
      </c>
      <c r="H43" t="s">
        <v>117</v>
      </c>
      <c r="I43" t="s">
        <v>117</v>
      </c>
      <c r="J43" t="s">
        <v>118</v>
      </c>
      <c r="K43" t="s">
        <v>117</v>
      </c>
      <c r="L43" t="s">
        <v>117</v>
      </c>
      <c r="M43" t="s">
        <v>118</v>
      </c>
      <c r="N43" t="s">
        <v>117</v>
      </c>
      <c r="O43" t="s">
        <v>117</v>
      </c>
      <c r="P43" t="s">
        <v>118</v>
      </c>
      <c r="Q43" t="s">
        <v>117</v>
      </c>
      <c r="R43" t="s">
        <v>117</v>
      </c>
      <c r="S43" t="s">
        <v>118</v>
      </c>
      <c r="T43" t="s">
        <v>117</v>
      </c>
      <c r="U43" t="s">
        <v>117</v>
      </c>
      <c r="V43" t="s">
        <v>118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L43" t="s">
        <v>117</v>
      </c>
      <c r="AM43" t="s">
        <v>117</v>
      </c>
      <c r="AN43" t="s">
        <v>118</v>
      </c>
      <c r="AO43" t="s">
        <v>117</v>
      </c>
      <c r="AP43" t="s">
        <v>117</v>
      </c>
      <c r="AQ43" t="s">
        <v>118</v>
      </c>
      <c r="AR43" t="s">
        <v>117</v>
      </c>
      <c r="AS43" t="s">
        <v>117</v>
      </c>
      <c r="AT43" t="s">
        <v>118</v>
      </c>
      <c r="AU43" t="s">
        <v>117</v>
      </c>
      <c r="AV43" t="s">
        <v>117</v>
      </c>
      <c r="AW43" t="s">
        <v>118</v>
      </c>
      <c r="AX43" t="s">
        <v>117</v>
      </c>
      <c r="BA43" t="s">
        <v>117</v>
      </c>
      <c r="BD43" t="s">
        <v>117</v>
      </c>
      <c r="BE43" t="s">
        <v>117</v>
      </c>
      <c r="BF43" t="s">
        <v>118</v>
      </c>
      <c r="BG43" t="s">
        <v>202</v>
      </c>
    </row>
    <row r="44" spans="1:59" x14ac:dyDescent="0.35">
      <c r="A44" t="s">
        <v>203</v>
      </c>
      <c r="B44" t="s">
        <v>772</v>
      </c>
      <c r="C44" t="s">
        <v>773</v>
      </c>
      <c r="D44" t="s">
        <v>774</v>
      </c>
      <c r="E44" t="s">
        <v>117</v>
      </c>
      <c r="F44" t="s">
        <v>117</v>
      </c>
      <c r="G44" t="s">
        <v>118</v>
      </c>
      <c r="H44" t="s">
        <v>117</v>
      </c>
      <c r="I44" t="s">
        <v>117</v>
      </c>
      <c r="J44" t="s">
        <v>118</v>
      </c>
      <c r="K44" t="s">
        <v>117</v>
      </c>
      <c r="L44" t="s">
        <v>117</v>
      </c>
      <c r="M44" t="s">
        <v>118</v>
      </c>
      <c r="N44" t="s">
        <v>117</v>
      </c>
      <c r="O44" t="s">
        <v>195</v>
      </c>
      <c r="P44" t="s">
        <v>118</v>
      </c>
      <c r="Q44" t="s">
        <v>117</v>
      </c>
      <c r="R44" t="s">
        <v>117</v>
      </c>
      <c r="S44" t="s">
        <v>118</v>
      </c>
      <c r="T44" t="s">
        <v>772</v>
      </c>
      <c r="U44" t="s">
        <v>775</v>
      </c>
      <c r="V44" t="s">
        <v>204</v>
      </c>
      <c r="W44" t="s">
        <v>117</v>
      </c>
      <c r="X44" t="s">
        <v>117</v>
      </c>
      <c r="Y44" t="s">
        <v>117</v>
      </c>
      <c r="Z44" t="s">
        <v>776</v>
      </c>
      <c r="AA44" t="s">
        <v>205</v>
      </c>
      <c r="AB44" t="s">
        <v>777</v>
      </c>
      <c r="AC44" t="s">
        <v>778</v>
      </c>
      <c r="AD44" t="s">
        <v>206</v>
      </c>
      <c r="AE44" t="s">
        <v>779</v>
      </c>
      <c r="AF44" t="s">
        <v>117</v>
      </c>
      <c r="AG44" t="s">
        <v>117</v>
      </c>
      <c r="AH44" t="s">
        <v>117</v>
      </c>
      <c r="AL44" t="s">
        <v>780</v>
      </c>
      <c r="AM44" t="s">
        <v>781</v>
      </c>
      <c r="AN44" t="s">
        <v>204</v>
      </c>
      <c r="AO44" t="s">
        <v>117</v>
      </c>
      <c r="AP44" t="s">
        <v>117</v>
      </c>
      <c r="AQ44" t="s">
        <v>118</v>
      </c>
      <c r="AR44" t="s">
        <v>780</v>
      </c>
      <c r="AS44" t="s">
        <v>781</v>
      </c>
      <c r="AT44" t="s">
        <v>204</v>
      </c>
      <c r="AU44" t="s">
        <v>780</v>
      </c>
      <c r="AV44" t="s">
        <v>781</v>
      </c>
      <c r="AW44" t="s">
        <v>204</v>
      </c>
      <c r="AX44" t="s">
        <v>782</v>
      </c>
      <c r="BA44" t="s">
        <v>783</v>
      </c>
      <c r="BD44" t="s">
        <v>784</v>
      </c>
      <c r="BE44" t="s">
        <v>781</v>
      </c>
      <c r="BF44" t="s">
        <v>785</v>
      </c>
      <c r="BG44" t="s">
        <v>785</v>
      </c>
    </row>
    <row r="45" spans="1:59" x14ac:dyDescent="0.35">
      <c r="A45" t="s">
        <v>207</v>
      </c>
      <c r="B45" t="s">
        <v>117</v>
      </c>
      <c r="C45" t="s">
        <v>117</v>
      </c>
      <c r="D45" t="s">
        <v>118</v>
      </c>
      <c r="E45" t="s">
        <v>117</v>
      </c>
      <c r="F45" t="s">
        <v>117</v>
      </c>
      <c r="G45" t="s">
        <v>118</v>
      </c>
      <c r="H45" t="s">
        <v>117</v>
      </c>
      <c r="I45" t="s">
        <v>117</v>
      </c>
      <c r="J45" t="s">
        <v>118</v>
      </c>
      <c r="K45" t="s">
        <v>117</v>
      </c>
      <c r="L45" t="s">
        <v>117</v>
      </c>
      <c r="M45" t="s">
        <v>118</v>
      </c>
      <c r="N45" t="s">
        <v>117</v>
      </c>
      <c r="O45" t="s">
        <v>117</v>
      </c>
      <c r="P45" t="s">
        <v>118</v>
      </c>
      <c r="Q45" t="s">
        <v>117</v>
      </c>
      <c r="R45" t="s">
        <v>117</v>
      </c>
      <c r="S45" t="s">
        <v>118</v>
      </c>
      <c r="T45" t="s">
        <v>117</v>
      </c>
      <c r="U45" t="s">
        <v>117</v>
      </c>
      <c r="V45" t="s">
        <v>118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L45" t="s">
        <v>117</v>
      </c>
      <c r="AM45" t="s">
        <v>117</v>
      </c>
      <c r="AN45" t="s">
        <v>118</v>
      </c>
      <c r="AO45" t="s">
        <v>117</v>
      </c>
      <c r="AP45" t="s">
        <v>117</v>
      </c>
      <c r="AQ45" t="s">
        <v>118</v>
      </c>
      <c r="AR45" t="s">
        <v>117</v>
      </c>
      <c r="AS45" t="s">
        <v>117</v>
      </c>
      <c r="AT45" t="s">
        <v>118</v>
      </c>
      <c r="AU45" t="s">
        <v>786</v>
      </c>
      <c r="AV45" t="s">
        <v>787</v>
      </c>
      <c r="AW45" t="s">
        <v>204</v>
      </c>
      <c r="AX45" t="s">
        <v>788</v>
      </c>
      <c r="BA45" t="s">
        <v>789</v>
      </c>
      <c r="BD45" t="s">
        <v>790</v>
      </c>
      <c r="BE45" t="s">
        <v>787</v>
      </c>
      <c r="BF45" t="s">
        <v>791</v>
      </c>
      <c r="BG45" t="s">
        <v>792</v>
      </c>
    </row>
    <row r="46" spans="1:59" x14ac:dyDescent="0.35">
      <c r="A46" t="s">
        <v>208</v>
      </c>
      <c r="B46" t="s">
        <v>793</v>
      </c>
      <c r="C46" t="s">
        <v>775</v>
      </c>
      <c r="D46" t="s">
        <v>794</v>
      </c>
      <c r="E46" t="s">
        <v>117</v>
      </c>
      <c r="F46" t="s">
        <v>117</v>
      </c>
      <c r="G46" t="s">
        <v>118</v>
      </c>
      <c r="H46" t="s">
        <v>117</v>
      </c>
      <c r="I46" t="s">
        <v>117</v>
      </c>
      <c r="J46" t="s">
        <v>118</v>
      </c>
      <c r="K46" t="s">
        <v>117</v>
      </c>
      <c r="L46" t="s">
        <v>117</v>
      </c>
      <c r="M46" t="s">
        <v>118</v>
      </c>
      <c r="N46" t="s">
        <v>117</v>
      </c>
      <c r="O46" t="s">
        <v>795</v>
      </c>
      <c r="P46" t="s">
        <v>118</v>
      </c>
      <c r="Q46" t="s">
        <v>117</v>
      </c>
      <c r="R46" t="s">
        <v>117</v>
      </c>
      <c r="S46" t="s">
        <v>118</v>
      </c>
      <c r="T46" t="s">
        <v>793</v>
      </c>
      <c r="U46" t="s">
        <v>796</v>
      </c>
      <c r="V46" t="s">
        <v>204</v>
      </c>
      <c r="W46" t="s">
        <v>117</v>
      </c>
      <c r="X46" t="s">
        <v>117</v>
      </c>
      <c r="Y46" t="s">
        <v>117</v>
      </c>
      <c r="Z46" t="s">
        <v>797</v>
      </c>
      <c r="AA46" t="s">
        <v>209</v>
      </c>
      <c r="AB46" t="s">
        <v>798</v>
      </c>
      <c r="AC46" t="s">
        <v>799</v>
      </c>
      <c r="AD46" t="s">
        <v>210</v>
      </c>
      <c r="AE46" t="s">
        <v>800</v>
      </c>
      <c r="AF46" t="s">
        <v>117</v>
      </c>
      <c r="AG46" t="s">
        <v>117</v>
      </c>
      <c r="AH46" t="s">
        <v>117</v>
      </c>
      <c r="AL46" t="s">
        <v>786</v>
      </c>
      <c r="AM46" t="s">
        <v>787</v>
      </c>
      <c r="AN46" t="s">
        <v>204</v>
      </c>
      <c r="AO46" t="s">
        <v>117</v>
      </c>
      <c r="AP46" t="s">
        <v>117</v>
      </c>
      <c r="AQ46" t="s">
        <v>118</v>
      </c>
      <c r="AR46" t="s">
        <v>786</v>
      </c>
      <c r="AS46" t="s">
        <v>787</v>
      </c>
      <c r="AT46" t="s">
        <v>204</v>
      </c>
      <c r="AU46" t="s">
        <v>786</v>
      </c>
      <c r="AV46" t="s">
        <v>787</v>
      </c>
      <c r="AW46" t="s">
        <v>204</v>
      </c>
      <c r="AX46" t="s">
        <v>788</v>
      </c>
      <c r="BA46" t="s">
        <v>789</v>
      </c>
      <c r="BD46" t="s">
        <v>790</v>
      </c>
      <c r="BE46" t="s">
        <v>787</v>
      </c>
      <c r="BF46" t="s">
        <v>791</v>
      </c>
      <c r="BG46" t="s">
        <v>792</v>
      </c>
    </row>
    <row r="47" spans="1:59" x14ac:dyDescent="0.35">
      <c r="A47" t="s">
        <v>211</v>
      </c>
      <c r="B47" t="s">
        <v>117</v>
      </c>
      <c r="C47" t="s">
        <v>117</v>
      </c>
      <c r="D47" t="s">
        <v>118</v>
      </c>
      <c r="E47" t="s">
        <v>117</v>
      </c>
      <c r="F47" t="s">
        <v>117</v>
      </c>
      <c r="G47" t="s">
        <v>118</v>
      </c>
      <c r="H47" t="s">
        <v>117</v>
      </c>
      <c r="I47" t="s">
        <v>117</v>
      </c>
      <c r="J47" t="s">
        <v>118</v>
      </c>
      <c r="K47" t="s">
        <v>117</v>
      </c>
      <c r="L47" t="s">
        <v>117</v>
      </c>
      <c r="M47" t="s">
        <v>118</v>
      </c>
      <c r="N47" t="s">
        <v>117</v>
      </c>
      <c r="O47" t="s">
        <v>117</v>
      </c>
      <c r="P47" t="s">
        <v>118</v>
      </c>
      <c r="Q47" t="s">
        <v>117</v>
      </c>
      <c r="R47" t="s">
        <v>117</v>
      </c>
      <c r="S47" t="s">
        <v>118</v>
      </c>
      <c r="T47" t="s">
        <v>117</v>
      </c>
      <c r="U47" t="s">
        <v>117</v>
      </c>
      <c r="V47" t="s">
        <v>118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L47" t="s">
        <v>117</v>
      </c>
      <c r="AM47" t="s">
        <v>117</v>
      </c>
      <c r="AN47" t="s">
        <v>118</v>
      </c>
      <c r="AO47" t="s">
        <v>117</v>
      </c>
      <c r="AP47" t="s">
        <v>117</v>
      </c>
      <c r="AQ47" t="s">
        <v>118</v>
      </c>
      <c r="AR47" t="s">
        <v>117</v>
      </c>
      <c r="AS47" t="s">
        <v>117</v>
      </c>
      <c r="AT47" t="s">
        <v>118</v>
      </c>
      <c r="AU47" t="s">
        <v>801</v>
      </c>
      <c r="AV47" t="s">
        <v>802</v>
      </c>
      <c r="AW47" t="s">
        <v>204</v>
      </c>
      <c r="AX47" t="s">
        <v>803</v>
      </c>
      <c r="BA47" t="s">
        <v>804</v>
      </c>
      <c r="BD47" t="s">
        <v>805</v>
      </c>
      <c r="BE47" t="s">
        <v>802</v>
      </c>
      <c r="BF47" t="s">
        <v>806</v>
      </c>
      <c r="BG47" t="s">
        <v>806</v>
      </c>
    </row>
    <row r="48" spans="1:59" x14ac:dyDescent="0.35">
      <c r="A48" t="s">
        <v>212</v>
      </c>
      <c r="B48" t="s">
        <v>807</v>
      </c>
      <c r="C48" t="s">
        <v>808</v>
      </c>
      <c r="D48" t="s">
        <v>809</v>
      </c>
      <c r="E48" t="s">
        <v>117</v>
      </c>
      <c r="F48" t="s">
        <v>117</v>
      </c>
      <c r="G48" t="s">
        <v>118</v>
      </c>
      <c r="H48" t="s">
        <v>117</v>
      </c>
      <c r="I48" t="s">
        <v>117</v>
      </c>
      <c r="J48" t="s">
        <v>118</v>
      </c>
      <c r="K48" t="s">
        <v>117</v>
      </c>
      <c r="L48" t="s">
        <v>117</v>
      </c>
      <c r="M48" t="s">
        <v>118</v>
      </c>
      <c r="N48" t="s">
        <v>117</v>
      </c>
      <c r="O48" t="s">
        <v>810</v>
      </c>
      <c r="P48" t="s">
        <v>118</v>
      </c>
      <c r="Q48" t="s">
        <v>117</v>
      </c>
      <c r="R48" t="s">
        <v>117</v>
      </c>
      <c r="S48" t="s">
        <v>118</v>
      </c>
      <c r="T48" t="s">
        <v>807</v>
      </c>
      <c r="U48" t="s">
        <v>811</v>
      </c>
      <c r="V48" t="s">
        <v>204</v>
      </c>
      <c r="W48" t="s">
        <v>117</v>
      </c>
      <c r="X48" t="s">
        <v>117</v>
      </c>
      <c r="Y48" t="s">
        <v>117</v>
      </c>
      <c r="Z48" t="s">
        <v>812</v>
      </c>
      <c r="AA48" t="s">
        <v>213</v>
      </c>
      <c r="AB48" t="s">
        <v>813</v>
      </c>
      <c r="AC48" t="s">
        <v>814</v>
      </c>
      <c r="AD48" t="s">
        <v>214</v>
      </c>
      <c r="AE48" t="s">
        <v>815</v>
      </c>
      <c r="AF48" t="s">
        <v>117</v>
      </c>
      <c r="AG48" t="s">
        <v>117</v>
      </c>
      <c r="AH48" t="s">
        <v>117</v>
      </c>
      <c r="AL48" t="s">
        <v>801</v>
      </c>
      <c r="AM48" t="s">
        <v>802</v>
      </c>
      <c r="AN48" t="s">
        <v>204</v>
      </c>
      <c r="AO48" t="s">
        <v>117</v>
      </c>
      <c r="AP48" t="s">
        <v>117</v>
      </c>
      <c r="AQ48" t="s">
        <v>118</v>
      </c>
      <c r="AR48" t="s">
        <v>801</v>
      </c>
      <c r="AS48" t="s">
        <v>802</v>
      </c>
      <c r="AT48" t="s">
        <v>204</v>
      </c>
      <c r="AU48" t="s">
        <v>801</v>
      </c>
      <c r="AV48" t="s">
        <v>802</v>
      </c>
      <c r="AW48" t="s">
        <v>204</v>
      </c>
      <c r="AX48" t="s">
        <v>803</v>
      </c>
      <c r="BA48" t="s">
        <v>804</v>
      </c>
      <c r="BD48" t="s">
        <v>805</v>
      </c>
      <c r="BE48" t="s">
        <v>802</v>
      </c>
      <c r="BF48" t="s">
        <v>806</v>
      </c>
      <c r="BG48" t="s">
        <v>806</v>
      </c>
    </row>
    <row r="49" spans="1:59" x14ac:dyDescent="0.35">
      <c r="A49" t="s">
        <v>215</v>
      </c>
      <c r="B49" t="s">
        <v>117</v>
      </c>
      <c r="C49" t="s">
        <v>117</v>
      </c>
      <c r="D49" t="s">
        <v>118</v>
      </c>
      <c r="E49" t="s">
        <v>117</v>
      </c>
      <c r="F49" t="s">
        <v>117</v>
      </c>
      <c r="G49" t="s">
        <v>118</v>
      </c>
      <c r="H49" t="s">
        <v>117</v>
      </c>
      <c r="I49" t="s">
        <v>117</v>
      </c>
      <c r="J49" t="s">
        <v>118</v>
      </c>
      <c r="K49" t="s">
        <v>117</v>
      </c>
      <c r="L49" t="s">
        <v>117</v>
      </c>
      <c r="M49" t="s">
        <v>118</v>
      </c>
      <c r="N49" t="s">
        <v>117</v>
      </c>
      <c r="O49" t="s">
        <v>117</v>
      </c>
      <c r="P49" t="s">
        <v>118</v>
      </c>
      <c r="Q49" t="s">
        <v>117</v>
      </c>
      <c r="R49" t="s">
        <v>117</v>
      </c>
      <c r="S49" t="s">
        <v>118</v>
      </c>
      <c r="T49" t="s">
        <v>117</v>
      </c>
      <c r="U49" t="s">
        <v>117</v>
      </c>
      <c r="V49" t="s">
        <v>118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L49" t="s">
        <v>117</v>
      </c>
      <c r="AM49" t="s">
        <v>117</v>
      </c>
      <c r="AN49" t="s">
        <v>118</v>
      </c>
      <c r="AO49" t="s">
        <v>117</v>
      </c>
      <c r="AP49" t="s">
        <v>117</v>
      </c>
      <c r="AQ49" t="s">
        <v>118</v>
      </c>
      <c r="AR49" t="s">
        <v>117</v>
      </c>
      <c r="AS49" t="s">
        <v>117</v>
      </c>
      <c r="AT49" t="s">
        <v>118</v>
      </c>
      <c r="AU49" t="s">
        <v>816</v>
      </c>
      <c r="AV49" t="s">
        <v>817</v>
      </c>
      <c r="AW49" t="s">
        <v>204</v>
      </c>
      <c r="AX49" t="s">
        <v>818</v>
      </c>
      <c r="BA49" t="s">
        <v>819</v>
      </c>
      <c r="BD49" t="s">
        <v>820</v>
      </c>
      <c r="BE49" t="s">
        <v>817</v>
      </c>
      <c r="BF49" t="s">
        <v>821</v>
      </c>
      <c r="BG49" t="s">
        <v>821</v>
      </c>
    </row>
    <row r="50" spans="1:59" x14ac:dyDescent="0.35">
      <c r="A50" t="s">
        <v>216</v>
      </c>
      <c r="B50" t="s">
        <v>822</v>
      </c>
      <c r="C50" t="s">
        <v>823</v>
      </c>
      <c r="D50" t="s">
        <v>824</v>
      </c>
      <c r="E50" t="s">
        <v>117</v>
      </c>
      <c r="F50" t="s">
        <v>117</v>
      </c>
      <c r="G50" t="s">
        <v>118</v>
      </c>
      <c r="H50" t="s">
        <v>117</v>
      </c>
      <c r="I50" t="s">
        <v>117</v>
      </c>
      <c r="J50" t="s">
        <v>118</v>
      </c>
      <c r="K50" t="s">
        <v>117</v>
      </c>
      <c r="L50" t="s">
        <v>117</v>
      </c>
      <c r="M50" t="s">
        <v>118</v>
      </c>
      <c r="N50" t="s">
        <v>117</v>
      </c>
      <c r="O50" t="s">
        <v>825</v>
      </c>
      <c r="P50" t="s">
        <v>118</v>
      </c>
      <c r="Q50" t="s">
        <v>117</v>
      </c>
      <c r="R50" t="s">
        <v>117</v>
      </c>
      <c r="S50" t="s">
        <v>118</v>
      </c>
      <c r="T50" t="s">
        <v>822</v>
      </c>
      <c r="U50" t="s">
        <v>826</v>
      </c>
      <c r="V50" t="s">
        <v>204</v>
      </c>
      <c r="W50" t="s">
        <v>117</v>
      </c>
      <c r="X50" t="s">
        <v>117</v>
      </c>
      <c r="Y50" t="s">
        <v>117</v>
      </c>
      <c r="Z50" t="s">
        <v>827</v>
      </c>
      <c r="AA50" t="s">
        <v>217</v>
      </c>
      <c r="AB50" t="s">
        <v>828</v>
      </c>
      <c r="AC50" t="s">
        <v>829</v>
      </c>
      <c r="AD50" t="s">
        <v>218</v>
      </c>
      <c r="AE50" t="s">
        <v>830</v>
      </c>
      <c r="AF50" t="s">
        <v>117</v>
      </c>
      <c r="AG50" t="s">
        <v>117</v>
      </c>
      <c r="AH50" t="s">
        <v>117</v>
      </c>
      <c r="AL50" t="s">
        <v>816</v>
      </c>
      <c r="AM50" t="s">
        <v>817</v>
      </c>
      <c r="AN50" t="s">
        <v>204</v>
      </c>
      <c r="AO50" t="s">
        <v>117</v>
      </c>
      <c r="AP50" t="s">
        <v>117</v>
      </c>
      <c r="AQ50" t="s">
        <v>118</v>
      </c>
      <c r="AR50" t="s">
        <v>816</v>
      </c>
      <c r="AS50" t="s">
        <v>817</v>
      </c>
      <c r="AT50" t="s">
        <v>204</v>
      </c>
      <c r="AU50" t="s">
        <v>816</v>
      </c>
      <c r="AV50" t="s">
        <v>817</v>
      </c>
      <c r="AW50" t="s">
        <v>204</v>
      </c>
      <c r="AX50" t="s">
        <v>818</v>
      </c>
      <c r="BA50" t="s">
        <v>819</v>
      </c>
      <c r="BD50" t="s">
        <v>820</v>
      </c>
      <c r="BE50" t="s">
        <v>817</v>
      </c>
      <c r="BF50" t="s">
        <v>821</v>
      </c>
      <c r="BG50" t="s">
        <v>821</v>
      </c>
    </row>
    <row r="51" spans="1:59" x14ac:dyDescent="0.35">
      <c r="A51" t="s">
        <v>219</v>
      </c>
      <c r="B51" t="s">
        <v>117</v>
      </c>
      <c r="C51" t="s">
        <v>117</v>
      </c>
      <c r="D51" t="s">
        <v>118</v>
      </c>
      <c r="E51" t="s">
        <v>117</v>
      </c>
      <c r="F51" t="s">
        <v>117</v>
      </c>
      <c r="G51" t="s">
        <v>118</v>
      </c>
      <c r="H51" t="s">
        <v>117</v>
      </c>
      <c r="I51" t="s">
        <v>117</v>
      </c>
      <c r="J51" t="s">
        <v>118</v>
      </c>
      <c r="K51" t="s">
        <v>117</v>
      </c>
      <c r="L51" t="s">
        <v>117</v>
      </c>
      <c r="M51" t="s">
        <v>118</v>
      </c>
      <c r="N51" t="s">
        <v>117</v>
      </c>
      <c r="O51" t="s">
        <v>117</v>
      </c>
      <c r="P51" t="s">
        <v>118</v>
      </c>
      <c r="Q51" t="s">
        <v>117</v>
      </c>
      <c r="R51" t="s">
        <v>117</v>
      </c>
      <c r="S51" t="s">
        <v>118</v>
      </c>
      <c r="T51" t="s">
        <v>117</v>
      </c>
      <c r="U51" t="s">
        <v>117</v>
      </c>
      <c r="V51" t="s">
        <v>118</v>
      </c>
      <c r="W51" t="s">
        <v>117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L51" t="s">
        <v>117</v>
      </c>
      <c r="AM51" t="s">
        <v>117</v>
      </c>
      <c r="AN51" t="s">
        <v>118</v>
      </c>
      <c r="AO51" t="s">
        <v>117</v>
      </c>
      <c r="AP51" t="s">
        <v>117</v>
      </c>
      <c r="AQ51" t="s">
        <v>118</v>
      </c>
      <c r="AR51" t="s">
        <v>117</v>
      </c>
      <c r="AS51" t="s">
        <v>117</v>
      </c>
      <c r="AT51" t="s">
        <v>118</v>
      </c>
      <c r="AU51" t="s">
        <v>831</v>
      </c>
      <c r="AV51" t="s">
        <v>832</v>
      </c>
      <c r="AW51" t="s">
        <v>204</v>
      </c>
      <c r="AX51" t="s">
        <v>833</v>
      </c>
      <c r="BA51" t="s">
        <v>834</v>
      </c>
      <c r="BD51" t="s">
        <v>835</v>
      </c>
      <c r="BE51" t="s">
        <v>832</v>
      </c>
      <c r="BF51" t="s">
        <v>836</v>
      </c>
      <c r="BG51" t="s">
        <v>836</v>
      </c>
    </row>
    <row r="52" spans="1:59" x14ac:dyDescent="0.35">
      <c r="A52" t="s">
        <v>220</v>
      </c>
      <c r="B52" t="s">
        <v>837</v>
      </c>
      <c r="C52" t="s">
        <v>838</v>
      </c>
      <c r="D52" t="s">
        <v>839</v>
      </c>
      <c r="E52" t="s">
        <v>117</v>
      </c>
      <c r="F52" t="s">
        <v>117</v>
      </c>
      <c r="G52" t="s">
        <v>118</v>
      </c>
      <c r="H52" t="s">
        <v>117</v>
      </c>
      <c r="I52" t="s">
        <v>117</v>
      </c>
      <c r="J52" t="s">
        <v>118</v>
      </c>
      <c r="K52" t="s">
        <v>117</v>
      </c>
      <c r="L52" t="s">
        <v>117</v>
      </c>
      <c r="M52" t="s">
        <v>118</v>
      </c>
      <c r="N52" t="s">
        <v>117</v>
      </c>
      <c r="O52" t="s">
        <v>775</v>
      </c>
      <c r="P52" t="s">
        <v>118</v>
      </c>
      <c r="Q52" t="s">
        <v>117</v>
      </c>
      <c r="R52" t="s">
        <v>117</v>
      </c>
      <c r="S52" t="s">
        <v>118</v>
      </c>
      <c r="T52" t="s">
        <v>837</v>
      </c>
      <c r="U52" t="s">
        <v>840</v>
      </c>
      <c r="V52" t="s">
        <v>204</v>
      </c>
      <c r="W52" t="s">
        <v>117</v>
      </c>
      <c r="X52" t="s">
        <v>117</v>
      </c>
      <c r="Y52" t="s">
        <v>117</v>
      </c>
      <c r="Z52" t="s">
        <v>841</v>
      </c>
      <c r="AA52" t="s">
        <v>221</v>
      </c>
      <c r="AB52" t="s">
        <v>842</v>
      </c>
      <c r="AC52" t="s">
        <v>843</v>
      </c>
      <c r="AD52" t="s">
        <v>222</v>
      </c>
      <c r="AE52" t="s">
        <v>844</v>
      </c>
      <c r="AF52" t="s">
        <v>117</v>
      </c>
      <c r="AG52" t="s">
        <v>117</v>
      </c>
      <c r="AH52" t="s">
        <v>117</v>
      </c>
      <c r="AL52" t="s">
        <v>831</v>
      </c>
      <c r="AM52" t="s">
        <v>832</v>
      </c>
      <c r="AN52" t="s">
        <v>204</v>
      </c>
      <c r="AO52" t="s">
        <v>117</v>
      </c>
      <c r="AP52" t="s">
        <v>117</v>
      </c>
      <c r="AQ52" t="s">
        <v>118</v>
      </c>
      <c r="AR52" t="s">
        <v>831</v>
      </c>
      <c r="AS52" t="s">
        <v>832</v>
      </c>
      <c r="AT52" t="s">
        <v>204</v>
      </c>
      <c r="AU52" t="s">
        <v>831</v>
      </c>
      <c r="AV52" t="s">
        <v>832</v>
      </c>
      <c r="AW52" t="s">
        <v>204</v>
      </c>
      <c r="AX52" t="s">
        <v>833</v>
      </c>
      <c r="BA52" t="s">
        <v>834</v>
      </c>
      <c r="BD52" t="s">
        <v>835</v>
      </c>
      <c r="BE52" t="s">
        <v>832</v>
      </c>
      <c r="BF52" t="s">
        <v>836</v>
      </c>
      <c r="BG52" t="s">
        <v>836</v>
      </c>
    </row>
    <row r="53" spans="1:59" x14ac:dyDescent="0.35">
      <c r="A53" t="s">
        <v>223</v>
      </c>
      <c r="B53" t="s">
        <v>845</v>
      </c>
      <c r="C53" t="s">
        <v>195</v>
      </c>
      <c r="D53" t="s">
        <v>846</v>
      </c>
      <c r="E53" t="s">
        <v>117</v>
      </c>
      <c r="F53" t="s">
        <v>117</v>
      </c>
      <c r="G53" t="s">
        <v>118</v>
      </c>
      <c r="H53" t="s">
        <v>117</v>
      </c>
      <c r="I53" t="s">
        <v>117</v>
      </c>
      <c r="J53" t="s">
        <v>118</v>
      </c>
      <c r="K53" t="s">
        <v>117</v>
      </c>
      <c r="L53" t="s">
        <v>117</v>
      </c>
      <c r="M53" t="s">
        <v>118</v>
      </c>
      <c r="N53" t="s">
        <v>117</v>
      </c>
      <c r="O53" t="s">
        <v>117</v>
      </c>
      <c r="P53" t="s">
        <v>118</v>
      </c>
      <c r="Q53" t="s">
        <v>117</v>
      </c>
      <c r="R53" t="s">
        <v>117</v>
      </c>
      <c r="S53" t="s">
        <v>118</v>
      </c>
      <c r="T53" t="s">
        <v>845</v>
      </c>
      <c r="U53" t="s">
        <v>195</v>
      </c>
      <c r="V53" t="s">
        <v>846</v>
      </c>
      <c r="W53" t="s">
        <v>117</v>
      </c>
      <c r="X53" t="s">
        <v>117</v>
      </c>
      <c r="Y53" t="s">
        <v>117</v>
      </c>
      <c r="Z53" t="s">
        <v>117</v>
      </c>
      <c r="AA53" t="s">
        <v>117</v>
      </c>
      <c r="AB53" t="s">
        <v>117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L53" t="s">
        <v>845</v>
      </c>
      <c r="AM53" t="s">
        <v>195</v>
      </c>
      <c r="AN53" t="s">
        <v>846</v>
      </c>
      <c r="AO53" t="s">
        <v>117</v>
      </c>
      <c r="AP53" t="s">
        <v>117</v>
      </c>
      <c r="AQ53" t="s">
        <v>118</v>
      </c>
      <c r="AR53" t="s">
        <v>845</v>
      </c>
      <c r="AS53" t="s">
        <v>195</v>
      </c>
      <c r="AT53" t="s">
        <v>846</v>
      </c>
      <c r="AU53" t="s">
        <v>845</v>
      </c>
      <c r="AV53" t="s">
        <v>195</v>
      </c>
      <c r="AW53" t="s">
        <v>846</v>
      </c>
      <c r="AX53" t="s">
        <v>847</v>
      </c>
      <c r="BA53" t="s">
        <v>848</v>
      </c>
      <c r="BD53" t="s">
        <v>849</v>
      </c>
      <c r="BE53" t="s">
        <v>195</v>
      </c>
      <c r="BF53" t="s">
        <v>850</v>
      </c>
      <c r="BG53" t="s">
        <v>851</v>
      </c>
    </row>
    <row r="54" spans="1:59" x14ac:dyDescent="0.35">
      <c r="A54" t="s">
        <v>225</v>
      </c>
      <c r="B54" t="s">
        <v>845</v>
      </c>
      <c r="C54" t="s">
        <v>195</v>
      </c>
      <c r="D54" t="s">
        <v>846</v>
      </c>
      <c r="E54" t="s">
        <v>117</v>
      </c>
      <c r="F54" t="s">
        <v>117</v>
      </c>
      <c r="G54" t="s">
        <v>118</v>
      </c>
      <c r="H54" t="s">
        <v>117</v>
      </c>
      <c r="I54" t="s">
        <v>117</v>
      </c>
      <c r="J54" t="s">
        <v>118</v>
      </c>
      <c r="K54" t="s">
        <v>117</v>
      </c>
      <c r="L54" t="s">
        <v>117</v>
      </c>
      <c r="M54" t="s">
        <v>118</v>
      </c>
      <c r="N54" t="s">
        <v>117</v>
      </c>
      <c r="O54" t="s">
        <v>117</v>
      </c>
      <c r="P54" t="s">
        <v>118</v>
      </c>
      <c r="Q54" t="s">
        <v>117</v>
      </c>
      <c r="R54" t="s">
        <v>117</v>
      </c>
      <c r="S54" t="s">
        <v>118</v>
      </c>
      <c r="T54" t="s">
        <v>845</v>
      </c>
      <c r="U54" t="s">
        <v>195</v>
      </c>
      <c r="V54" t="s">
        <v>846</v>
      </c>
      <c r="W54" t="s">
        <v>117</v>
      </c>
      <c r="X54" t="s">
        <v>117</v>
      </c>
      <c r="Y54" t="s">
        <v>117</v>
      </c>
      <c r="Z54" t="s">
        <v>117</v>
      </c>
      <c r="AA54" t="s">
        <v>117</v>
      </c>
      <c r="AB54" t="s">
        <v>117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L54" t="s">
        <v>845</v>
      </c>
      <c r="AM54" t="s">
        <v>195</v>
      </c>
      <c r="AN54" t="s">
        <v>846</v>
      </c>
      <c r="AO54" t="s">
        <v>117</v>
      </c>
      <c r="AP54" t="s">
        <v>117</v>
      </c>
      <c r="AQ54" t="s">
        <v>118</v>
      </c>
      <c r="AR54" t="s">
        <v>845</v>
      </c>
      <c r="AS54" t="s">
        <v>195</v>
      </c>
      <c r="AT54" t="s">
        <v>846</v>
      </c>
      <c r="AU54" t="s">
        <v>845</v>
      </c>
      <c r="AV54" t="s">
        <v>195</v>
      </c>
      <c r="AW54" t="s">
        <v>846</v>
      </c>
      <c r="AX54" t="s">
        <v>117</v>
      </c>
      <c r="BA54" t="s">
        <v>848</v>
      </c>
      <c r="BD54" t="s">
        <v>852</v>
      </c>
      <c r="BE54" t="s">
        <v>195</v>
      </c>
      <c r="BF54" t="s">
        <v>224</v>
      </c>
      <c r="BG54" t="s">
        <v>224</v>
      </c>
    </row>
    <row r="55" spans="1:59" x14ac:dyDescent="0.35">
      <c r="A55" t="s">
        <v>226</v>
      </c>
      <c r="B55" t="s">
        <v>845</v>
      </c>
      <c r="C55" t="s">
        <v>195</v>
      </c>
      <c r="D55" t="s">
        <v>846</v>
      </c>
      <c r="E55" t="s">
        <v>117</v>
      </c>
      <c r="F55" t="s">
        <v>117</v>
      </c>
      <c r="G55" t="s">
        <v>118</v>
      </c>
      <c r="H55" t="s">
        <v>117</v>
      </c>
      <c r="I55" t="s">
        <v>117</v>
      </c>
      <c r="J55" t="s">
        <v>118</v>
      </c>
      <c r="K55" t="s">
        <v>117</v>
      </c>
      <c r="L55" t="s">
        <v>117</v>
      </c>
      <c r="M55" t="s">
        <v>118</v>
      </c>
      <c r="N55" t="s">
        <v>117</v>
      </c>
      <c r="O55" t="s">
        <v>117</v>
      </c>
      <c r="P55" t="s">
        <v>118</v>
      </c>
      <c r="Q55" t="s">
        <v>117</v>
      </c>
      <c r="R55" t="s">
        <v>117</v>
      </c>
      <c r="S55" t="s">
        <v>118</v>
      </c>
      <c r="T55" t="s">
        <v>845</v>
      </c>
      <c r="U55" t="s">
        <v>195</v>
      </c>
      <c r="V55" t="s">
        <v>846</v>
      </c>
      <c r="W55" t="s">
        <v>117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L55" t="s">
        <v>845</v>
      </c>
      <c r="AM55" t="s">
        <v>195</v>
      </c>
      <c r="AN55" t="s">
        <v>846</v>
      </c>
      <c r="AO55" t="s">
        <v>117</v>
      </c>
      <c r="AP55" t="s">
        <v>117</v>
      </c>
      <c r="AQ55" t="s">
        <v>118</v>
      </c>
      <c r="AR55" t="s">
        <v>845</v>
      </c>
      <c r="AS55" t="s">
        <v>195</v>
      </c>
      <c r="AT55" t="s">
        <v>846</v>
      </c>
      <c r="AU55" t="s">
        <v>845</v>
      </c>
      <c r="AV55" t="s">
        <v>195</v>
      </c>
      <c r="AW55" t="s">
        <v>846</v>
      </c>
      <c r="AX55" t="s">
        <v>117</v>
      </c>
      <c r="BA55" t="s">
        <v>848</v>
      </c>
      <c r="BD55" t="s">
        <v>852</v>
      </c>
      <c r="BE55" t="s">
        <v>195</v>
      </c>
      <c r="BF55" t="s">
        <v>224</v>
      </c>
      <c r="BG55" t="s">
        <v>224</v>
      </c>
    </row>
    <row r="56" spans="1:59" x14ac:dyDescent="0.35">
      <c r="A56" t="s">
        <v>227</v>
      </c>
      <c r="B56" t="s">
        <v>845</v>
      </c>
      <c r="C56" t="s">
        <v>195</v>
      </c>
      <c r="D56" t="s">
        <v>846</v>
      </c>
      <c r="E56" t="s">
        <v>117</v>
      </c>
      <c r="F56" t="s">
        <v>117</v>
      </c>
      <c r="G56" t="s">
        <v>118</v>
      </c>
      <c r="H56" t="s">
        <v>117</v>
      </c>
      <c r="I56" t="s">
        <v>117</v>
      </c>
      <c r="J56" t="s">
        <v>118</v>
      </c>
      <c r="K56" t="s">
        <v>117</v>
      </c>
      <c r="L56" t="s">
        <v>117</v>
      </c>
      <c r="M56" t="s">
        <v>118</v>
      </c>
      <c r="N56" t="s">
        <v>117</v>
      </c>
      <c r="O56" t="s">
        <v>117</v>
      </c>
      <c r="P56" t="s">
        <v>118</v>
      </c>
      <c r="Q56" t="s">
        <v>117</v>
      </c>
      <c r="R56" t="s">
        <v>117</v>
      </c>
      <c r="S56" t="s">
        <v>118</v>
      </c>
      <c r="T56" t="s">
        <v>845</v>
      </c>
      <c r="U56" t="s">
        <v>195</v>
      </c>
      <c r="V56" t="s">
        <v>846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L56" t="s">
        <v>845</v>
      </c>
      <c r="AM56" t="s">
        <v>195</v>
      </c>
      <c r="AN56" t="s">
        <v>846</v>
      </c>
      <c r="AO56" t="s">
        <v>117</v>
      </c>
      <c r="AP56" t="s">
        <v>117</v>
      </c>
      <c r="AQ56" t="s">
        <v>118</v>
      </c>
      <c r="AR56" t="s">
        <v>845</v>
      </c>
      <c r="AS56" t="s">
        <v>195</v>
      </c>
      <c r="AT56" t="s">
        <v>846</v>
      </c>
      <c r="AU56" t="s">
        <v>845</v>
      </c>
      <c r="AV56" t="s">
        <v>195</v>
      </c>
      <c r="AW56" t="s">
        <v>846</v>
      </c>
      <c r="AX56" t="s">
        <v>853</v>
      </c>
      <c r="BA56" t="s">
        <v>848</v>
      </c>
      <c r="BD56" t="s">
        <v>854</v>
      </c>
      <c r="BE56" t="s">
        <v>195</v>
      </c>
      <c r="BF56" t="s">
        <v>855</v>
      </c>
      <c r="BG56" t="s">
        <v>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FD0A-3F58-4103-A6C6-77B48EB61A1A}">
  <sheetPr codeName="Sheet3"/>
  <dimension ref="A1:Q57"/>
  <sheetViews>
    <sheetView workbookViewId="0">
      <selection activeCell="B6" sqref="B6"/>
    </sheetView>
  </sheetViews>
  <sheetFormatPr defaultRowHeight="14.5" x14ac:dyDescent="0.35"/>
  <cols>
    <col min="1" max="1" width="11.81640625" bestFit="1" customWidth="1"/>
    <col min="2" max="2" width="25.54296875" bestFit="1" customWidth="1"/>
    <col min="3" max="3" width="27" bestFit="1" customWidth="1"/>
    <col min="4" max="4" width="30" bestFit="1" customWidth="1"/>
    <col min="5" max="5" width="27.1796875" bestFit="1" customWidth="1"/>
    <col min="6" max="6" width="27.453125" bestFit="1" customWidth="1"/>
    <col min="7" max="7" width="18.7265625" style="8" bestFit="1" customWidth="1"/>
    <col min="8" max="8" width="19.6328125" style="8" bestFit="1" customWidth="1"/>
    <col min="9" max="9" width="22.6328125" style="8" bestFit="1" customWidth="1"/>
    <col min="10" max="10" width="24.36328125" style="8" bestFit="1" customWidth="1"/>
    <col min="11" max="11" width="32.08984375" style="9" bestFit="1" customWidth="1"/>
    <col min="12" max="12" width="33.81640625" bestFit="1" customWidth="1"/>
    <col min="13" max="13" width="37.90625" bestFit="1" customWidth="1"/>
    <col min="14" max="15" width="39.36328125" bestFit="1" customWidth="1"/>
    <col min="16" max="17" width="28.6328125" bestFit="1" customWidth="1"/>
    <col min="18" max="18" width="18" bestFit="1" customWidth="1"/>
  </cols>
  <sheetData>
    <row r="1" spans="1:17" x14ac:dyDescent="0.35">
      <c r="A1" s="7" t="s">
        <v>53</v>
      </c>
      <c r="B1" s="7" t="s">
        <v>479</v>
      </c>
      <c r="C1" s="7" t="s">
        <v>480</v>
      </c>
      <c r="D1" s="7" t="s">
        <v>481</v>
      </c>
      <c r="E1" s="7" t="s">
        <v>228</v>
      </c>
      <c r="F1" s="7" t="s">
        <v>229</v>
      </c>
      <c r="G1" s="7" t="s">
        <v>230</v>
      </c>
      <c r="H1" s="7" t="s">
        <v>231</v>
      </c>
      <c r="I1" s="7" t="s">
        <v>232</v>
      </c>
      <c r="J1" s="7" t="s">
        <v>233</v>
      </c>
      <c r="K1" s="7" t="s">
        <v>234</v>
      </c>
      <c r="L1" s="7" t="s">
        <v>235</v>
      </c>
      <c r="M1" s="7" t="s">
        <v>236</v>
      </c>
      <c r="N1" s="7" t="s">
        <v>237</v>
      </c>
      <c r="O1" s="7" t="s">
        <v>238</v>
      </c>
      <c r="P1" s="7" t="s">
        <v>482</v>
      </c>
      <c r="Q1" s="7" t="s">
        <v>483</v>
      </c>
    </row>
    <row r="2" spans="1:17" x14ac:dyDescent="0.35">
      <c r="A2" t="s">
        <v>115</v>
      </c>
      <c r="B2">
        <v>0</v>
      </c>
      <c r="C2">
        <v>0</v>
      </c>
      <c r="D2">
        <v>350</v>
      </c>
      <c r="E2">
        <v>0</v>
      </c>
      <c r="F2">
        <v>63000</v>
      </c>
      <c r="G2" t="s">
        <v>484</v>
      </c>
      <c r="H2" t="s">
        <v>484</v>
      </c>
      <c r="I2" t="s">
        <v>485</v>
      </c>
      <c r="J2" t="s">
        <v>484</v>
      </c>
      <c r="K2">
        <v>8000</v>
      </c>
      <c r="L2">
        <v>0</v>
      </c>
      <c r="M2">
        <v>0</v>
      </c>
      <c r="N2">
        <v>44.44</v>
      </c>
      <c r="O2">
        <v>0</v>
      </c>
      <c r="P2">
        <v>3466.29</v>
      </c>
      <c r="Q2">
        <v>154057.42000000001</v>
      </c>
    </row>
    <row r="3" spans="1:17" x14ac:dyDescent="0.35">
      <c r="A3" t="s">
        <v>121</v>
      </c>
      <c r="B3">
        <v>1160</v>
      </c>
      <c r="C3">
        <v>0</v>
      </c>
      <c r="D3">
        <v>25240</v>
      </c>
      <c r="E3">
        <v>0</v>
      </c>
      <c r="F3">
        <v>759205</v>
      </c>
      <c r="G3" t="s">
        <v>486</v>
      </c>
      <c r="H3" t="s">
        <v>484</v>
      </c>
      <c r="I3" t="s">
        <v>487</v>
      </c>
      <c r="J3" t="s">
        <v>484</v>
      </c>
      <c r="K3">
        <v>71800</v>
      </c>
      <c r="L3">
        <v>109.7</v>
      </c>
      <c r="M3">
        <v>0</v>
      </c>
      <c r="N3">
        <v>2387.0100000000002</v>
      </c>
      <c r="O3">
        <v>0</v>
      </c>
      <c r="P3">
        <v>63.67</v>
      </c>
      <c r="Q3">
        <v>158955.98000000001</v>
      </c>
    </row>
    <row r="4" spans="1:17" x14ac:dyDescent="0.35">
      <c r="A4" t="s">
        <v>125</v>
      </c>
      <c r="B4">
        <v>4100</v>
      </c>
      <c r="C4">
        <v>0</v>
      </c>
      <c r="D4">
        <v>13100</v>
      </c>
      <c r="E4">
        <v>0</v>
      </c>
      <c r="F4">
        <v>410800</v>
      </c>
      <c r="G4" t="s">
        <v>488</v>
      </c>
      <c r="H4" t="s">
        <v>484</v>
      </c>
      <c r="I4" t="s">
        <v>489</v>
      </c>
      <c r="J4" t="s">
        <v>484</v>
      </c>
      <c r="K4">
        <v>37400</v>
      </c>
      <c r="L4">
        <v>373.27</v>
      </c>
      <c r="M4">
        <v>0</v>
      </c>
      <c r="N4">
        <v>1192.6500000000001</v>
      </c>
      <c r="O4">
        <v>0</v>
      </c>
      <c r="P4">
        <v>159.16999999999999</v>
      </c>
      <c r="Q4">
        <v>249239.67999999999</v>
      </c>
    </row>
    <row r="5" spans="1:17" x14ac:dyDescent="0.35">
      <c r="A5" t="s">
        <v>129</v>
      </c>
      <c r="B5">
        <v>3580</v>
      </c>
      <c r="C5">
        <v>0</v>
      </c>
      <c r="D5">
        <v>12040</v>
      </c>
      <c r="E5">
        <v>0</v>
      </c>
      <c r="F5">
        <v>391432</v>
      </c>
      <c r="G5" t="s">
        <v>490</v>
      </c>
      <c r="H5" t="s">
        <v>484</v>
      </c>
      <c r="I5" t="s">
        <v>491</v>
      </c>
      <c r="J5" t="s">
        <v>484</v>
      </c>
      <c r="K5">
        <v>36800</v>
      </c>
      <c r="L5">
        <v>336.57</v>
      </c>
      <c r="M5">
        <v>0</v>
      </c>
      <c r="N5">
        <v>1131.93</v>
      </c>
      <c r="O5">
        <v>0</v>
      </c>
      <c r="P5">
        <v>318.33</v>
      </c>
      <c r="Q5">
        <v>467466.07</v>
      </c>
    </row>
    <row r="6" spans="1:17" x14ac:dyDescent="0.35">
      <c r="A6" t="s">
        <v>133</v>
      </c>
      <c r="B6">
        <v>3677.5</v>
      </c>
      <c r="C6">
        <v>0</v>
      </c>
      <c r="D6">
        <v>20720</v>
      </c>
      <c r="E6">
        <v>0</v>
      </c>
      <c r="F6">
        <v>497623</v>
      </c>
      <c r="G6" t="s">
        <v>492</v>
      </c>
      <c r="H6" t="s">
        <v>484</v>
      </c>
      <c r="I6" t="s">
        <v>493</v>
      </c>
      <c r="J6" t="s">
        <v>484</v>
      </c>
      <c r="K6">
        <v>46400</v>
      </c>
      <c r="L6">
        <v>342.9</v>
      </c>
      <c r="M6">
        <v>0</v>
      </c>
      <c r="N6">
        <v>1932</v>
      </c>
      <c r="O6">
        <v>0</v>
      </c>
      <c r="P6">
        <v>636.66</v>
      </c>
      <c r="Q6">
        <v>1448339.67</v>
      </c>
    </row>
    <row r="7" spans="1:17" x14ac:dyDescent="0.35">
      <c r="A7" t="s">
        <v>494</v>
      </c>
      <c r="B7">
        <v>3626.23</v>
      </c>
      <c r="C7">
        <v>0</v>
      </c>
      <c r="D7">
        <v>10192.49</v>
      </c>
      <c r="E7">
        <v>0</v>
      </c>
      <c r="F7">
        <v>410291.63</v>
      </c>
      <c r="G7" t="s">
        <v>490</v>
      </c>
      <c r="H7" t="s">
        <v>484</v>
      </c>
      <c r="I7" t="s">
        <v>491</v>
      </c>
      <c r="J7" t="s">
        <v>484</v>
      </c>
      <c r="K7">
        <v>35043.879999999997</v>
      </c>
      <c r="L7">
        <v>349.07</v>
      </c>
      <c r="M7">
        <v>0</v>
      </c>
      <c r="N7">
        <v>1145.74</v>
      </c>
      <c r="O7">
        <v>0</v>
      </c>
      <c r="P7">
        <v>363.25</v>
      </c>
      <c r="Q7">
        <v>441698.92</v>
      </c>
    </row>
    <row r="8" spans="1:17" x14ac:dyDescent="0.35">
      <c r="A8" t="s">
        <v>495</v>
      </c>
      <c r="B8">
        <v>3482.89</v>
      </c>
      <c r="C8">
        <v>0</v>
      </c>
      <c r="D8">
        <v>10795.37</v>
      </c>
      <c r="E8">
        <v>0</v>
      </c>
      <c r="F8">
        <v>315651.84000000003</v>
      </c>
      <c r="G8" t="s">
        <v>490</v>
      </c>
      <c r="H8" t="s">
        <v>484</v>
      </c>
      <c r="I8" t="s">
        <v>491</v>
      </c>
      <c r="J8" t="s">
        <v>484</v>
      </c>
      <c r="K8">
        <v>31861.22</v>
      </c>
      <c r="L8">
        <v>315.08999999999997</v>
      </c>
      <c r="M8">
        <v>0</v>
      </c>
      <c r="N8">
        <v>1035.51</v>
      </c>
      <c r="O8">
        <v>0</v>
      </c>
      <c r="P8">
        <v>334.13</v>
      </c>
      <c r="Q8">
        <v>509952.19</v>
      </c>
    </row>
    <row r="9" spans="1:17" x14ac:dyDescent="0.35">
      <c r="A9" t="s">
        <v>496</v>
      </c>
      <c r="B9">
        <v>1255</v>
      </c>
      <c r="C9">
        <v>0</v>
      </c>
      <c r="D9">
        <v>24254.57</v>
      </c>
      <c r="E9">
        <v>0</v>
      </c>
      <c r="F9">
        <v>835341.26</v>
      </c>
      <c r="G9" t="s">
        <v>486</v>
      </c>
      <c r="H9" t="s">
        <v>484</v>
      </c>
      <c r="I9" t="s">
        <v>487</v>
      </c>
      <c r="J9" t="s">
        <v>484</v>
      </c>
      <c r="K9">
        <v>71185.98</v>
      </c>
      <c r="L9">
        <v>96.79</v>
      </c>
      <c r="M9">
        <v>0</v>
      </c>
      <c r="N9">
        <v>1931.53</v>
      </c>
      <c r="O9">
        <v>0</v>
      </c>
      <c r="P9">
        <v>71.040000000000006</v>
      </c>
      <c r="Q9">
        <v>140266.15</v>
      </c>
    </row>
    <row r="10" spans="1:17" x14ac:dyDescent="0.35">
      <c r="A10" t="s">
        <v>497</v>
      </c>
      <c r="B10">
        <v>971.63</v>
      </c>
      <c r="C10">
        <v>0</v>
      </c>
      <c r="D10">
        <v>22550.03</v>
      </c>
      <c r="E10">
        <v>0</v>
      </c>
      <c r="F10">
        <v>813172.4</v>
      </c>
      <c r="G10" t="s">
        <v>486</v>
      </c>
      <c r="H10" t="s">
        <v>484</v>
      </c>
      <c r="I10" t="s">
        <v>487</v>
      </c>
      <c r="J10" t="s">
        <v>484</v>
      </c>
      <c r="K10">
        <v>73195.179999999993</v>
      </c>
      <c r="L10">
        <v>90.3</v>
      </c>
      <c r="M10">
        <v>0</v>
      </c>
      <c r="N10">
        <v>1922.71</v>
      </c>
      <c r="O10">
        <v>0</v>
      </c>
      <c r="P10">
        <v>70.97</v>
      </c>
      <c r="Q10">
        <v>168018.57</v>
      </c>
    </row>
    <row r="11" spans="1:17" x14ac:dyDescent="0.35">
      <c r="A11" t="s">
        <v>498</v>
      </c>
      <c r="B11">
        <v>3610.85</v>
      </c>
      <c r="C11">
        <v>0</v>
      </c>
      <c r="D11">
        <v>10450.11</v>
      </c>
      <c r="E11">
        <v>0</v>
      </c>
      <c r="F11">
        <v>396404.34</v>
      </c>
      <c r="G11" t="s">
        <v>490</v>
      </c>
      <c r="H11" t="s">
        <v>484</v>
      </c>
      <c r="I11" t="s">
        <v>491</v>
      </c>
      <c r="J11" t="s">
        <v>484</v>
      </c>
      <c r="K11">
        <v>34653.31</v>
      </c>
      <c r="L11">
        <v>298.82</v>
      </c>
      <c r="M11">
        <v>0</v>
      </c>
      <c r="N11">
        <v>1321.07</v>
      </c>
      <c r="O11">
        <v>0</v>
      </c>
      <c r="P11">
        <v>349.74</v>
      </c>
      <c r="Q11">
        <v>448820.18</v>
      </c>
    </row>
    <row r="12" spans="1:17" x14ac:dyDescent="0.35">
      <c r="A12" t="s">
        <v>499</v>
      </c>
      <c r="B12">
        <v>0</v>
      </c>
      <c r="C12">
        <v>0</v>
      </c>
      <c r="D12">
        <v>339.34</v>
      </c>
      <c r="E12">
        <v>0</v>
      </c>
      <c r="F12">
        <v>65979.56</v>
      </c>
      <c r="G12" t="s">
        <v>484</v>
      </c>
      <c r="H12" t="s">
        <v>484</v>
      </c>
      <c r="I12" t="s">
        <v>485</v>
      </c>
      <c r="J12" t="s">
        <v>484</v>
      </c>
      <c r="K12">
        <v>6758.81</v>
      </c>
      <c r="L12">
        <v>0</v>
      </c>
      <c r="M12">
        <v>0</v>
      </c>
      <c r="N12">
        <v>46.74</v>
      </c>
      <c r="O12">
        <v>0</v>
      </c>
      <c r="P12">
        <v>3039.14</v>
      </c>
      <c r="Q12">
        <v>141368.16</v>
      </c>
    </row>
    <row r="13" spans="1:17" x14ac:dyDescent="0.35">
      <c r="A13" t="s">
        <v>500</v>
      </c>
      <c r="B13">
        <v>4113.99</v>
      </c>
      <c r="C13">
        <v>0</v>
      </c>
      <c r="D13">
        <v>12696.4</v>
      </c>
      <c r="E13">
        <v>0</v>
      </c>
      <c r="F13">
        <v>410420.5</v>
      </c>
      <c r="G13" t="s">
        <v>490</v>
      </c>
      <c r="H13" t="s">
        <v>484</v>
      </c>
      <c r="I13" t="s">
        <v>491</v>
      </c>
      <c r="J13" t="s">
        <v>484</v>
      </c>
      <c r="K13">
        <v>32582.81</v>
      </c>
      <c r="L13">
        <v>286.39</v>
      </c>
      <c r="M13">
        <v>0</v>
      </c>
      <c r="N13">
        <v>1347</v>
      </c>
      <c r="O13">
        <v>0</v>
      </c>
      <c r="P13">
        <v>367.27</v>
      </c>
      <c r="Q13">
        <v>382101.28</v>
      </c>
    </row>
    <row r="14" spans="1:17" x14ac:dyDescent="0.35">
      <c r="A14" t="s">
        <v>501</v>
      </c>
      <c r="B14">
        <v>3032.34</v>
      </c>
      <c r="C14">
        <v>0</v>
      </c>
      <c r="D14">
        <v>22764.06</v>
      </c>
      <c r="E14">
        <v>0</v>
      </c>
      <c r="F14">
        <v>463840.58</v>
      </c>
      <c r="G14" t="s">
        <v>492</v>
      </c>
      <c r="H14" t="s">
        <v>484</v>
      </c>
      <c r="I14" t="s">
        <v>493</v>
      </c>
      <c r="J14" t="s">
        <v>484</v>
      </c>
      <c r="K14">
        <v>41239.730000000003</v>
      </c>
      <c r="L14">
        <v>391.16</v>
      </c>
      <c r="M14">
        <v>0</v>
      </c>
      <c r="N14">
        <v>2168.86</v>
      </c>
      <c r="O14">
        <v>0</v>
      </c>
      <c r="P14">
        <v>618.85</v>
      </c>
      <c r="Q14">
        <v>1327555.1100000001</v>
      </c>
    </row>
    <row r="15" spans="1:17" x14ac:dyDescent="0.35">
      <c r="A15" t="s">
        <v>502</v>
      </c>
      <c r="B15">
        <v>4149.13</v>
      </c>
      <c r="C15">
        <v>0</v>
      </c>
      <c r="D15">
        <v>15584.55</v>
      </c>
      <c r="E15">
        <v>0</v>
      </c>
      <c r="F15">
        <v>491682.32</v>
      </c>
      <c r="G15" t="s">
        <v>488</v>
      </c>
      <c r="H15" t="s">
        <v>484</v>
      </c>
      <c r="I15" t="s">
        <v>489</v>
      </c>
      <c r="J15" t="s">
        <v>484</v>
      </c>
      <c r="K15">
        <v>41639.67</v>
      </c>
      <c r="L15">
        <v>387.79</v>
      </c>
      <c r="M15">
        <v>0</v>
      </c>
      <c r="N15">
        <v>1279.3</v>
      </c>
      <c r="O15">
        <v>0</v>
      </c>
      <c r="P15">
        <v>159.15</v>
      </c>
      <c r="Q15">
        <v>268032.27</v>
      </c>
    </row>
    <row r="16" spans="1:17" x14ac:dyDescent="0.35">
      <c r="A16" t="s">
        <v>503</v>
      </c>
      <c r="B16">
        <v>1190.1600000000001</v>
      </c>
      <c r="C16">
        <v>0</v>
      </c>
      <c r="D16">
        <v>26337.42</v>
      </c>
      <c r="E16">
        <v>0</v>
      </c>
      <c r="F16">
        <v>632116.56999999995</v>
      </c>
      <c r="G16" t="s">
        <v>486</v>
      </c>
      <c r="H16" t="s">
        <v>484</v>
      </c>
      <c r="I16" t="s">
        <v>487</v>
      </c>
      <c r="J16" t="s">
        <v>484</v>
      </c>
      <c r="K16">
        <v>58951.88</v>
      </c>
      <c r="L16">
        <v>124.96</v>
      </c>
      <c r="M16">
        <v>0</v>
      </c>
      <c r="N16">
        <v>2221.15</v>
      </c>
      <c r="O16">
        <v>0</v>
      </c>
      <c r="P16">
        <v>66.02</v>
      </c>
      <c r="Q16">
        <v>149939.5</v>
      </c>
    </row>
    <row r="17" spans="1:17" x14ac:dyDescent="0.35">
      <c r="A17" t="s">
        <v>504</v>
      </c>
      <c r="B17">
        <v>3790.79</v>
      </c>
      <c r="C17">
        <v>0</v>
      </c>
      <c r="D17">
        <v>18420.28</v>
      </c>
      <c r="E17">
        <v>0</v>
      </c>
      <c r="F17">
        <v>511142.92</v>
      </c>
      <c r="G17" t="s">
        <v>492</v>
      </c>
      <c r="H17" t="s">
        <v>484</v>
      </c>
      <c r="I17" t="s">
        <v>493</v>
      </c>
      <c r="J17" t="s">
        <v>484</v>
      </c>
      <c r="K17">
        <v>55032.33</v>
      </c>
      <c r="L17">
        <v>359.68</v>
      </c>
      <c r="M17">
        <v>0</v>
      </c>
      <c r="N17">
        <v>2025.36</v>
      </c>
      <c r="O17">
        <v>0</v>
      </c>
      <c r="P17">
        <v>656.37</v>
      </c>
      <c r="Q17">
        <v>1547690.68</v>
      </c>
    </row>
    <row r="18" spans="1:17" x14ac:dyDescent="0.35">
      <c r="A18" t="s">
        <v>505</v>
      </c>
      <c r="B18">
        <v>3833.81</v>
      </c>
      <c r="C18">
        <v>0</v>
      </c>
      <c r="D18">
        <v>10712.87</v>
      </c>
      <c r="E18">
        <v>0</v>
      </c>
      <c r="F18">
        <v>456881.42</v>
      </c>
      <c r="G18" t="s">
        <v>490</v>
      </c>
      <c r="H18" t="s">
        <v>484</v>
      </c>
      <c r="I18" t="s">
        <v>491</v>
      </c>
      <c r="J18" t="s">
        <v>484</v>
      </c>
      <c r="K18">
        <v>40821.5</v>
      </c>
      <c r="L18">
        <v>369.94</v>
      </c>
      <c r="M18">
        <v>0</v>
      </c>
      <c r="N18">
        <v>1095.67</v>
      </c>
      <c r="O18">
        <v>0</v>
      </c>
      <c r="P18">
        <v>373.93</v>
      </c>
      <c r="Q18">
        <v>410491.1</v>
      </c>
    </row>
    <row r="19" spans="1:17" x14ac:dyDescent="0.35">
      <c r="A19" t="s">
        <v>506</v>
      </c>
      <c r="B19">
        <v>0</v>
      </c>
      <c r="C19">
        <v>0</v>
      </c>
      <c r="D19">
        <v>303.06</v>
      </c>
      <c r="E19">
        <v>0</v>
      </c>
      <c r="F19">
        <v>69990.350000000006</v>
      </c>
      <c r="G19" t="s">
        <v>484</v>
      </c>
      <c r="H19" t="s">
        <v>484</v>
      </c>
      <c r="I19" t="s">
        <v>485</v>
      </c>
      <c r="J19" t="s">
        <v>484</v>
      </c>
      <c r="K19">
        <v>8265.85</v>
      </c>
      <c r="L19">
        <v>0</v>
      </c>
      <c r="M19">
        <v>0</v>
      </c>
      <c r="N19">
        <v>46.68</v>
      </c>
      <c r="O19">
        <v>0</v>
      </c>
      <c r="P19">
        <v>4084.45</v>
      </c>
      <c r="Q19">
        <v>174523.75</v>
      </c>
    </row>
    <row r="20" spans="1:17" x14ac:dyDescent="0.35">
      <c r="A20" t="s">
        <v>507</v>
      </c>
      <c r="B20">
        <v>0</v>
      </c>
      <c r="C20">
        <v>0</v>
      </c>
      <c r="D20">
        <v>305.33999999999997</v>
      </c>
      <c r="E20">
        <v>0</v>
      </c>
      <c r="F20">
        <v>50840.61</v>
      </c>
      <c r="G20" t="s">
        <v>484</v>
      </c>
      <c r="H20" t="s">
        <v>484</v>
      </c>
      <c r="I20" t="s">
        <v>485</v>
      </c>
      <c r="J20" t="s">
        <v>484</v>
      </c>
      <c r="K20">
        <v>7757.47</v>
      </c>
      <c r="L20">
        <v>0</v>
      </c>
      <c r="M20">
        <v>0</v>
      </c>
      <c r="N20">
        <v>39.049999999999997</v>
      </c>
      <c r="O20">
        <v>0</v>
      </c>
      <c r="P20">
        <v>3374.88</v>
      </c>
      <c r="Q20">
        <v>124688.71</v>
      </c>
    </row>
    <row r="21" spans="1:17" x14ac:dyDescent="0.35">
      <c r="A21" t="s">
        <v>508</v>
      </c>
      <c r="B21">
        <v>4345.6000000000004</v>
      </c>
      <c r="C21">
        <v>0</v>
      </c>
      <c r="D21">
        <v>19514.830000000002</v>
      </c>
      <c r="E21">
        <v>0</v>
      </c>
      <c r="F21">
        <v>523682.82</v>
      </c>
      <c r="G21" t="s">
        <v>492</v>
      </c>
      <c r="H21" t="s">
        <v>484</v>
      </c>
      <c r="I21" t="s">
        <v>493</v>
      </c>
      <c r="J21" t="s">
        <v>484</v>
      </c>
      <c r="K21">
        <v>54457.13</v>
      </c>
      <c r="L21">
        <v>329.88</v>
      </c>
      <c r="M21">
        <v>0</v>
      </c>
      <c r="N21">
        <v>1863.98</v>
      </c>
      <c r="O21">
        <v>0</v>
      </c>
      <c r="P21">
        <v>601.21</v>
      </c>
      <c r="Q21">
        <v>1378399.01</v>
      </c>
    </row>
    <row r="22" spans="1:17" x14ac:dyDescent="0.35">
      <c r="A22" t="s">
        <v>509</v>
      </c>
      <c r="B22">
        <v>4253.46</v>
      </c>
      <c r="C22">
        <v>0</v>
      </c>
      <c r="D22">
        <v>15640.59</v>
      </c>
      <c r="E22">
        <v>0</v>
      </c>
      <c r="F22">
        <v>344438.16</v>
      </c>
      <c r="G22" t="s">
        <v>488</v>
      </c>
      <c r="H22" t="s">
        <v>484</v>
      </c>
      <c r="I22" t="s">
        <v>489</v>
      </c>
      <c r="J22" t="s">
        <v>484</v>
      </c>
      <c r="K22">
        <v>40855.69</v>
      </c>
      <c r="L22">
        <v>325.79000000000002</v>
      </c>
      <c r="M22">
        <v>0</v>
      </c>
      <c r="N22">
        <v>1159.19</v>
      </c>
      <c r="O22">
        <v>0</v>
      </c>
      <c r="P22">
        <v>166.43</v>
      </c>
      <c r="Q22">
        <v>214545.88</v>
      </c>
    </row>
    <row r="23" spans="1:17" x14ac:dyDescent="0.35">
      <c r="A23" t="s">
        <v>510</v>
      </c>
      <c r="B23">
        <v>0</v>
      </c>
      <c r="C23">
        <v>0</v>
      </c>
      <c r="D23">
        <v>379.92</v>
      </c>
      <c r="E23">
        <v>0</v>
      </c>
      <c r="F23">
        <v>73570.679999999993</v>
      </c>
      <c r="G23" t="s">
        <v>484</v>
      </c>
      <c r="H23" t="s">
        <v>484</v>
      </c>
      <c r="I23" t="s">
        <v>485</v>
      </c>
      <c r="J23" t="s">
        <v>484</v>
      </c>
      <c r="K23">
        <v>8376.94</v>
      </c>
      <c r="L23">
        <v>0</v>
      </c>
      <c r="M23">
        <v>0</v>
      </c>
      <c r="N23">
        <v>45.15</v>
      </c>
      <c r="O23">
        <v>0</v>
      </c>
      <c r="P23">
        <v>3835.54</v>
      </c>
      <c r="Q23">
        <v>152900.68</v>
      </c>
    </row>
    <row r="24" spans="1:17" x14ac:dyDescent="0.35">
      <c r="A24" t="s">
        <v>511</v>
      </c>
      <c r="B24">
        <v>3056.9</v>
      </c>
      <c r="C24">
        <v>0</v>
      </c>
      <c r="D24">
        <v>12348.19</v>
      </c>
      <c r="E24">
        <v>0</v>
      </c>
      <c r="F24">
        <v>405830.6</v>
      </c>
      <c r="G24" t="s">
        <v>490</v>
      </c>
      <c r="H24" t="s">
        <v>484</v>
      </c>
      <c r="I24" t="s">
        <v>491</v>
      </c>
      <c r="J24" t="s">
        <v>484</v>
      </c>
      <c r="K24">
        <v>32563.16</v>
      </c>
      <c r="L24">
        <v>311.19</v>
      </c>
      <c r="M24">
        <v>0</v>
      </c>
      <c r="N24">
        <v>973.31</v>
      </c>
      <c r="O24">
        <v>0</v>
      </c>
      <c r="P24">
        <v>356.11</v>
      </c>
      <c r="Q24">
        <v>489571.43</v>
      </c>
    </row>
    <row r="25" spans="1:17" x14ac:dyDescent="0.35">
      <c r="A25" t="s">
        <v>512</v>
      </c>
      <c r="B25">
        <v>3715.38</v>
      </c>
      <c r="C25">
        <v>0</v>
      </c>
      <c r="D25">
        <v>21828.61</v>
      </c>
      <c r="E25">
        <v>0</v>
      </c>
      <c r="F25">
        <v>578066.43999999994</v>
      </c>
      <c r="G25" t="s">
        <v>492</v>
      </c>
      <c r="H25" t="s">
        <v>484</v>
      </c>
      <c r="I25" t="s">
        <v>493</v>
      </c>
      <c r="J25" t="s">
        <v>484</v>
      </c>
      <c r="K25">
        <v>41493.99</v>
      </c>
      <c r="L25">
        <v>349.39</v>
      </c>
      <c r="M25">
        <v>0</v>
      </c>
      <c r="N25">
        <v>1621.72</v>
      </c>
      <c r="O25">
        <v>0</v>
      </c>
      <c r="P25">
        <v>728.98</v>
      </c>
      <c r="Q25">
        <v>1509780.35</v>
      </c>
    </row>
    <row r="26" spans="1:17" x14ac:dyDescent="0.35">
      <c r="A26" t="s">
        <v>513</v>
      </c>
      <c r="B26">
        <v>3186.48</v>
      </c>
      <c r="C26">
        <v>0</v>
      </c>
      <c r="D26">
        <v>10137.85</v>
      </c>
      <c r="E26">
        <v>0</v>
      </c>
      <c r="F26">
        <v>323184.21000000002</v>
      </c>
      <c r="G26" t="s">
        <v>490</v>
      </c>
      <c r="H26" t="s">
        <v>484</v>
      </c>
      <c r="I26" t="s">
        <v>491</v>
      </c>
      <c r="J26" t="s">
        <v>484</v>
      </c>
      <c r="K26">
        <v>40124.94</v>
      </c>
      <c r="L26">
        <v>293.33999999999997</v>
      </c>
      <c r="M26">
        <v>0</v>
      </c>
      <c r="N26">
        <v>1228.24</v>
      </c>
      <c r="O26">
        <v>0</v>
      </c>
      <c r="P26">
        <v>367.65</v>
      </c>
      <c r="Q26">
        <v>467903.58</v>
      </c>
    </row>
    <row r="27" spans="1:17" x14ac:dyDescent="0.35">
      <c r="A27" t="s">
        <v>514</v>
      </c>
      <c r="B27">
        <v>3644.89</v>
      </c>
      <c r="C27">
        <v>0</v>
      </c>
      <c r="D27">
        <v>12486.03</v>
      </c>
      <c r="E27">
        <v>0</v>
      </c>
      <c r="F27">
        <v>458985.44</v>
      </c>
      <c r="G27" t="s">
        <v>488</v>
      </c>
      <c r="H27" t="s">
        <v>484</v>
      </c>
      <c r="I27" t="s">
        <v>489</v>
      </c>
      <c r="J27" t="s">
        <v>484</v>
      </c>
      <c r="K27">
        <v>35462.35</v>
      </c>
      <c r="L27">
        <v>444.57</v>
      </c>
      <c r="M27">
        <v>0</v>
      </c>
      <c r="N27">
        <v>959.11</v>
      </c>
      <c r="O27">
        <v>0</v>
      </c>
      <c r="P27">
        <v>180.57</v>
      </c>
      <c r="Q27">
        <v>272007.64</v>
      </c>
    </row>
    <row r="28" spans="1:17" x14ac:dyDescent="0.35">
      <c r="A28" t="s">
        <v>515</v>
      </c>
      <c r="B28">
        <v>4866.1000000000004</v>
      </c>
      <c r="C28">
        <v>0</v>
      </c>
      <c r="D28">
        <v>13157.39</v>
      </c>
      <c r="E28">
        <v>0</v>
      </c>
      <c r="F28">
        <v>426950.16</v>
      </c>
      <c r="G28" t="s">
        <v>488</v>
      </c>
      <c r="H28" t="s">
        <v>484</v>
      </c>
      <c r="I28" t="s">
        <v>489</v>
      </c>
      <c r="J28" t="s">
        <v>484</v>
      </c>
      <c r="K28">
        <v>34540.21</v>
      </c>
      <c r="L28">
        <v>440.14</v>
      </c>
      <c r="M28">
        <v>0</v>
      </c>
      <c r="N28">
        <v>1129.6099999999999</v>
      </c>
      <c r="O28">
        <v>0</v>
      </c>
      <c r="P28">
        <v>170.23</v>
      </c>
      <c r="Q28">
        <v>231592.9</v>
      </c>
    </row>
    <row r="29" spans="1:17" x14ac:dyDescent="0.35">
      <c r="A29" t="s">
        <v>516</v>
      </c>
      <c r="B29">
        <v>3252.98</v>
      </c>
      <c r="C29">
        <v>0</v>
      </c>
      <c r="D29">
        <v>14307.18</v>
      </c>
      <c r="E29">
        <v>0</v>
      </c>
      <c r="F29">
        <v>444083.43</v>
      </c>
      <c r="G29" t="s">
        <v>490</v>
      </c>
      <c r="H29" t="s">
        <v>484</v>
      </c>
      <c r="I29" t="s">
        <v>491</v>
      </c>
      <c r="J29" t="s">
        <v>484</v>
      </c>
      <c r="K29">
        <v>42705.56</v>
      </c>
      <c r="L29">
        <v>377.63</v>
      </c>
      <c r="M29">
        <v>0</v>
      </c>
      <c r="N29">
        <v>1224.8499999999999</v>
      </c>
      <c r="O29">
        <v>0</v>
      </c>
      <c r="P29">
        <v>350.81</v>
      </c>
      <c r="Q29">
        <v>441849.67</v>
      </c>
    </row>
    <row r="30" spans="1:17" x14ac:dyDescent="0.35">
      <c r="A30" t="s">
        <v>517</v>
      </c>
      <c r="B30">
        <v>3221.87</v>
      </c>
      <c r="C30">
        <v>0</v>
      </c>
      <c r="D30">
        <v>13486.64</v>
      </c>
      <c r="E30">
        <v>0</v>
      </c>
      <c r="F30">
        <v>360797.54</v>
      </c>
      <c r="G30" t="s">
        <v>490</v>
      </c>
      <c r="H30" t="s">
        <v>484</v>
      </c>
      <c r="I30" t="s">
        <v>491</v>
      </c>
      <c r="J30" t="s">
        <v>484</v>
      </c>
      <c r="K30">
        <v>42301.65</v>
      </c>
      <c r="L30">
        <v>357.95</v>
      </c>
      <c r="M30">
        <v>0</v>
      </c>
      <c r="N30">
        <v>1147.45</v>
      </c>
      <c r="O30">
        <v>0</v>
      </c>
      <c r="P30">
        <v>324.27999999999997</v>
      </c>
      <c r="Q30">
        <v>425888.28</v>
      </c>
    </row>
    <row r="31" spans="1:17" x14ac:dyDescent="0.35">
      <c r="A31" t="s">
        <v>518</v>
      </c>
      <c r="B31">
        <v>3178.19</v>
      </c>
      <c r="C31">
        <v>0</v>
      </c>
      <c r="D31">
        <v>9647.1200000000008</v>
      </c>
      <c r="E31">
        <v>0</v>
      </c>
      <c r="F31">
        <v>374592.32</v>
      </c>
      <c r="G31" t="s">
        <v>490</v>
      </c>
      <c r="H31" t="s">
        <v>484</v>
      </c>
      <c r="I31" t="s">
        <v>491</v>
      </c>
      <c r="J31" t="s">
        <v>484</v>
      </c>
      <c r="K31">
        <v>40388.559999999998</v>
      </c>
      <c r="L31">
        <v>350.61</v>
      </c>
      <c r="M31">
        <v>0</v>
      </c>
      <c r="N31">
        <v>1209.05</v>
      </c>
      <c r="O31">
        <v>0</v>
      </c>
      <c r="P31">
        <v>303.27999999999997</v>
      </c>
      <c r="Q31">
        <v>552735.18000000005</v>
      </c>
    </row>
    <row r="32" spans="1:17" x14ac:dyDescent="0.35">
      <c r="A32" t="s">
        <v>519</v>
      </c>
      <c r="B32">
        <v>1337.2</v>
      </c>
      <c r="C32">
        <v>0</v>
      </c>
      <c r="D32">
        <v>21318.99</v>
      </c>
      <c r="E32">
        <v>0</v>
      </c>
      <c r="F32">
        <v>845657.46</v>
      </c>
      <c r="G32" t="s">
        <v>486</v>
      </c>
      <c r="H32" t="s">
        <v>484</v>
      </c>
      <c r="I32" t="s">
        <v>487</v>
      </c>
      <c r="J32" t="s">
        <v>484</v>
      </c>
      <c r="K32">
        <v>79125.86</v>
      </c>
      <c r="L32">
        <v>95.78</v>
      </c>
      <c r="M32">
        <v>0</v>
      </c>
      <c r="N32">
        <v>2669.27</v>
      </c>
      <c r="O32">
        <v>0</v>
      </c>
      <c r="P32">
        <v>70.48</v>
      </c>
      <c r="Q32">
        <v>152985.53</v>
      </c>
    </row>
    <row r="33" spans="1:17" x14ac:dyDescent="0.35">
      <c r="A33" t="s">
        <v>520</v>
      </c>
      <c r="B33">
        <v>3061.57</v>
      </c>
      <c r="C33">
        <v>0</v>
      </c>
      <c r="D33">
        <v>20571.28</v>
      </c>
      <c r="E33">
        <v>0</v>
      </c>
      <c r="F33">
        <v>463913.75</v>
      </c>
      <c r="G33" t="s">
        <v>492</v>
      </c>
      <c r="H33" t="s">
        <v>484</v>
      </c>
      <c r="I33" t="s">
        <v>493</v>
      </c>
      <c r="J33" t="s">
        <v>484</v>
      </c>
      <c r="K33">
        <v>39805.61</v>
      </c>
      <c r="L33">
        <v>290.85000000000002</v>
      </c>
      <c r="M33">
        <v>0</v>
      </c>
      <c r="N33">
        <v>2163.83</v>
      </c>
      <c r="O33">
        <v>0</v>
      </c>
      <c r="P33">
        <v>656.26</v>
      </c>
      <c r="Q33">
        <v>1250359.77</v>
      </c>
    </row>
    <row r="34" spans="1:17" x14ac:dyDescent="0.35">
      <c r="A34" t="s">
        <v>521</v>
      </c>
      <c r="B34">
        <v>0</v>
      </c>
      <c r="C34">
        <v>0</v>
      </c>
      <c r="D34">
        <v>283.52999999999997</v>
      </c>
      <c r="E34">
        <v>0</v>
      </c>
      <c r="F34">
        <v>51220.21</v>
      </c>
      <c r="G34" t="s">
        <v>484</v>
      </c>
      <c r="H34" t="s">
        <v>484</v>
      </c>
      <c r="I34" t="s">
        <v>485</v>
      </c>
      <c r="J34" t="s">
        <v>484</v>
      </c>
      <c r="K34">
        <v>8488.5</v>
      </c>
      <c r="L34">
        <v>0</v>
      </c>
      <c r="M34">
        <v>0</v>
      </c>
      <c r="N34">
        <v>50.84</v>
      </c>
      <c r="O34">
        <v>0</v>
      </c>
      <c r="P34">
        <v>2837.02</v>
      </c>
      <c r="Q34">
        <v>129456.57</v>
      </c>
    </row>
    <row r="35" spans="1:17" x14ac:dyDescent="0.35">
      <c r="A35" t="s">
        <v>522</v>
      </c>
      <c r="B35">
        <v>0</v>
      </c>
      <c r="C35">
        <v>0</v>
      </c>
      <c r="D35">
        <v>291.26</v>
      </c>
      <c r="E35">
        <v>0</v>
      </c>
      <c r="F35">
        <v>56216.92</v>
      </c>
      <c r="G35" t="s">
        <v>484</v>
      </c>
      <c r="H35" t="s">
        <v>484</v>
      </c>
      <c r="I35" t="s">
        <v>485</v>
      </c>
      <c r="J35" t="s">
        <v>484</v>
      </c>
      <c r="K35">
        <v>8834.7000000000007</v>
      </c>
      <c r="L35">
        <v>0</v>
      </c>
      <c r="M35">
        <v>0</v>
      </c>
      <c r="N35">
        <v>36.08</v>
      </c>
      <c r="O35">
        <v>0</v>
      </c>
      <c r="P35">
        <v>3804.66</v>
      </c>
      <c r="Q35">
        <v>128470.53</v>
      </c>
    </row>
    <row r="36" spans="1:17" x14ac:dyDescent="0.35">
      <c r="A36" t="s">
        <v>523</v>
      </c>
      <c r="B36">
        <v>3176.05</v>
      </c>
      <c r="C36">
        <v>0</v>
      </c>
      <c r="D36">
        <v>14030.8</v>
      </c>
      <c r="E36">
        <v>0</v>
      </c>
      <c r="F36">
        <v>438132.24</v>
      </c>
      <c r="G36" t="s">
        <v>490</v>
      </c>
      <c r="H36" t="s">
        <v>484</v>
      </c>
      <c r="I36" t="s">
        <v>491</v>
      </c>
      <c r="J36" t="s">
        <v>484</v>
      </c>
      <c r="K36">
        <v>41422.400000000001</v>
      </c>
      <c r="L36">
        <v>315.75</v>
      </c>
      <c r="M36">
        <v>0</v>
      </c>
      <c r="N36">
        <v>1137.25</v>
      </c>
      <c r="O36">
        <v>0</v>
      </c>
      <c r="P36">
        <v>374.23</v>
      </c>
      <c r="Q36">
        <v>403047.82</v>
      </c>
    </row>
    <row r="37" spans="1:17" x14ac:dyDescent="0.35">
      <c r="A37" t="s">
        <v>524</v>
      </c>
      <c r="B37">
        <v>4283.6499999999996</v>
      </c>
      <c r="C37">
        <v>0</v>
      </c>
      <c r="D37">
        <v>16975.97</v>
      </c>
      <c r="E37">
        <v>0</v>
      </c>
      <c r="F37">
        <v>441383.86</v>
      </c>
      <c r="G37" t="s">
        <v>492</v>
      </c>
      <c r="H37" t="s">
        <v>484</v>
      </c>
      <c r="I37" t="s">
        <v>493</v>
      </c>
      <c r="J37" t="s">
        <v>484</v>
      </c>
      <c r="K37">
        <v>53523.35</v>
      </c>
      <c r="L37">
        <v>293.68</v>
      </c>
      <c r="M37">
        <v>0</v>
      </c>
      <c r="N37">
        <v>1748.95</v>
      </c>
      <c r="O37">
        <v>0</v>
      </c>
      <c r="P37">
        <v>560.57000000000005</v>
      </c>
      <c r="Q37">
        <v>1483047.19</v>
      </c>
    </row>
    <row r="38" spans="1:17" x14ac:dyDescent="0.35">
      <c r="A38" t="s">
        <v>525</v>
      </c>
      <c r="B38">
        <v>1145.8</v>
      </c>
      <c r="C38">
        <v>0</v>
      </c>
      <c r="D38">
        <v>27881.27</v>
      </c>
      <c r="E38">
        <v>0</v>
      </c>
      <c r="F38">
        <v>755701.38</v>
      </c>
      <c r="G38" t="s">
        <v>486</v>
      </c>
      <c r="H38" t="s">
        <v>484</v>
      </c>
      <c r="I38" t="s">
        <v>487</v>
      </c>
      <c r="J38" t="s">
        <v>484</v>
      </c>
      <c r="K38">
        <v>60414.559999999998</v>
      </c>
      <c r="L38">
        <v>112.8</v>
      </c>
      <c r="M38">
        <v>0</v>
      </c>
      <c r="N38">
        <v>1910.87</v>
      </c>
      <c r="O38">
        <v>0</v>
      </c>
      <c r="P38">
        <v>59.53</v>
      </c>
      <c r="Q38">
        <v>169071.45</v>
      </c>
    </row>
    <row r="39" spans="1:17" x14ac:dyDescent="0.35">
      <c r="A39" t="s">
        <v>526</v>
      </c>
      <c r="B39">
        <v>0</v>
      </c>
      <c r="C39">
        <v>0</v>
      </c>
      <c r="D39">
        <v>385.19</v>
      </c>
      <c r="E39">
        <v>0</v>
      </c>
      <c r="F39">
        <v>52103.09</v>
      </c>
      <c r="G39" t="s">
        <v>484</v>
      </c>
      <c r="H39" t="s">
        <v>484</v>
      </c>
      <c r="I39" t="s">
        <v>485</v>
      </c>
      <c r="J39" t="s">
        <v>484</v>
      </c>
      <c r="K39">
        <v>6853.56</v>
      </c>
      <c r="L39">
        <v>0</v>
      </c>
      <c r="M39">
        <v>0</v>
      </c>
      <c r="N39">
        <v>41.07</v>
      </c>
      <c r="O39">
        <v>0</v>
      </c>
      <c r="P39">
        <v>3453.16</v>
      </c>
      <c r="Q39">
        <v>143390.66</v>
      </c>
    </row>
    <row r="40" spans="1:17" x14ac:dyDescent="0.35">
      <c r="A40" t="s">
        <v>527</v>
      </c>
      <c r="B40">
        <v>3218.91</v>
      </c>
      <c r="C40">
        <v>0</v>
      </c>
      <c r="D40">
        <v>11713.4</v>
      </c>
      <c r="E40">
        <v>0</v>
      </c>
      <c r="F40">
        <v>354713.86</v>
      </c>
      <c r="G40" t="s">
        <v>490</v>
      </c>
      <c r="H40" t="s">
        <v>484</v>
      </c>
      <c r="I40" t="s">
        <v>491</v>
      </c>
      <c r="J40" t="s">
        <v>484</v>
      </c>
      <c r="K40">
        <v>40400</v>
      </c>
      <c r="L40">
        <v>397.14</v>
      </c>
      <c r="M40">
        <v>0</v>
      </c>
      <c r="N40">
        <v>957.51</v>
      </c>
      <c r="O40">
        <v>0</v>
      </c>
      <c r="P40">
        <v>359.52</v>
      </c>
      <c r="Q40">
        <v>460023.25</v>
      </c>
    </row>
    <row r="41" spans="1:17" x14ac:dyDescent="0.35">
      <c r="A41" t="s">
        <v>528</v>
      </c>
      <c r="B41">
        <v>3465.72</v>
      </c>
      <c r="C41">
        <v>0</v>
      </c>
      <c r="D41">
        <v>12046.12</v>
      </c>
      <c r="E41">
        <v>0</v>
      </c>
      <c r="F41">
        <v>426978.17</v>
      </c>
      <c r="G41" t="s">
        <v>490</v>
      </c>
      <c r="H41" t="s">
        <v>484</v>
      </c>
      <c r="I41" t="s">
        <v>491</v>
      </c>
      <c r="J41" t="s">
        <v>484</v>
      </c>
      <c r="K41">
        <v>32651.35</v>
      </c>
      <c r="L41">
        <v>279.29000000000002</v>
      </c>
      <c r="M41">
        <v>0</v>
      </c>
      <c r="N41">
        <v>1300.3499999999999</v>
      </c>
      <c r="O41">
        <v>0</v>
      </c>
      <c r="P41">
        <v>318.51</v>
      </c>
      <c r="Q41">
        <v>447652.9</v>
      </c>
    </row>
    <row r="42" spans="1:17" x14ac:dyDescent="0.35">
      <c r="A42" t="s">
        <v>529</v>
      </c>
      <c r="B42">
        <v>2897.73</v>
      </c>
      <c r="C42">
        <v>0</v>
      </c>
      <c r="D42">
        <v>13160.02</v>
      </c>
      <c r="E42">
        <v>0</v>
      </c>
      <c r="F42">
        <v>382574.49</v>
      </c>
      <c r="G42" t="s">
        <v>490</v>
      </c>
      <c r="H42" t="s">
        <v>484</v>
      </c>
      <c r="I42" t="s">
        <v>491</v>
      </c>
      <c r="J42" t="s">
        <v>484</v>
      </c>
      <c r="K42">
        <v>42680.05</v>
      </c>
      <c r="L42">
        <v>332.32</v>
      </c>
      <c r="M42">
        <v>0</v>
      </c>
      <c r="N42">
        <v>1292.8900000000001</v>
      </c>
      <c r="O42">
        <v>0</v>
      </c>
      <c r="P42">
        <v>360.59</v>
      </c>
      <c r="Q42">
        <v>488096.06</v>
      </c>
    </row>
    <row r="43" spans="1:17" x14ac:dyDescent="0.35">
      <c r="A43" t="s">
        <v>530</v>
      </c>
      <c r="B43">
        <v>0</v>
      </c>
      <c r="C43">
        <v>0</v>
      </c>
      <c r="D43">
        <v>407.93</v>
      </c>
      <c r="E43">
        <v>0</v>
      </c>
      <c r="F43">
        <v>66708.009999999995</v>
      </c>
      <c r="G43" t="s">
        <v>484</v>
      </c>
      <c r="H43" t="s">
        <v>484</v>
      </c>
      <c r="I43" t="s">
        <v>485</v>
      </c>
      <c r="J43" t="s">
        <v>484</v>
      </c>
      <c r="K43">
        <v>9220.7999999999993</v>
      </c>
      <c r="L43">
        <v>0</v>
      </c>
      <c r="M43">
        <v>0</v>
      </c>
      <c r="N43">
        <v>48.86</v>
      </c>
      <c r="O43">
        <v>0</v>
      </c>
      <c r="P43">
        <v>3968.17</v>
      </c>
      <c r="Q43">
        <v>164374.92000000001</v>
      </c>
    </row>
    <row r="44" spans="1:17" x14ac:dyDescent="0.35">
      <c r="A44" t="s">
        <v>531</v>
      </c>
      <c r="B44">
        <v>1112.7</v>
      </c>
      <c r="C44">
        <v>0</v>
      </c>
      <c r="D44">
        <v>24874.36</v>
      </c>
      <c r="E44">
        <v>0</v>
      </c>
      <c r="F44">
        <v>797982</v>
      </c>
      <c r="G44" t="s">
        <v>486</v>
      </c>
      <c r="H44" t="s">
        <v>484</v>
      </c>
      <c r="I44" t="s">
        <v>487</v>
      </c>
      <c r="J44" t="s">
        <v>484</v>
      </c>
      <c r="K44">
        <v>80269.009999999995</v>
      </c>
      <c r="L44">
        <v>99.69</v>
      </c>
      <c r="M44">
        <v>0</v>
      </c>
      <c r="N44">
        <v>2166.81</v>
      </c>
      <c r="O44">
        <v>0</v>
      </c>
      <c r="P44">
        <v>51.82</v>
      </c>
      <c r="Q44">
        <v>142536.35</v>
      </c>
    </row>
    <row r="45" spans="1:17" x14ac:dyDescent="0.35">
      <c r="A45" t="s">
        <v>532</v>
      </c>
      <c r="B45">
        <v>4396.8599999999997</v>
      </c>
      <c r="C45">
        <v>0</v>
      </c>
      <c r="D45">
        <v>14721.78</v>
      </c>
      <c r="E45">
        <v>0</v>
      </c>
      <c r="F45">
        <v>352937.31</v>
      </c>
      <c r="G45" t="s">
        <v>488</v>
      </c>
      <c r="H45" t="s">
        <v>484</v>
      </c>
      <c r="I45" t="s">
        <v>489</v>
      </c>
      <c r="J45" t="s">
        <v>484</v>
      </c>
      <c r="K45">
        <v>35129.75</v>
      </c>
      <c r="L45">
        <v>437.83</v>
      </c>
      <c r="M45">
        <v>0</v>
      </c>
      <c r="N45">
        <v>1058.8</v>
      </c>
      <c r="O45">
        <v>0</v>
      </c>
      <c r="P45">
        <v>145.65</v>
      </c>
      <c r="Q45">
        <v>286408.7</v>
      </c>
    </row>
    <row r="46" spans="1:17" x14ac:dyDescent="0.35">
      <c r="A46" t="s">
        <v>533</v>
      </c>
      <c r="B46">
        <v>3464.38</v>
      </c>
      <c r="C46">
        <v>0</v>
      </c>
      <c r="D46">
        <v>16789.45</v>
      </c>
      <c r="E46">
        <v>0</v>
      </c>
      <c r="F46">
        <v>467099.19</v>
      </c>
      <c r="G46" t="s">
        <v>492</v>
      </c>
      <c r="H46" t="s">
        <v>484</v>
      </c>
      <c r="I46" t="s">
        <v>493</v>
      </c>
      <c r="J46" t="s">
        <v>484</v>
      </c>
      <c r="K46">
        <v>46664.9</v>
      </c>
      <c r="L46">
        <v>309.86</v>
      </c>
      <c r="M46">
        <v>0</v>
      </c>
      <c r="N46">
        <v>1965.14</v>
      </c>
      <c r="O46">
        <v>0</v>
      </c>
      <c r="P46">
        <v>756.84</v>
      </c>
      <c r="Q46">
        <v>1292824.04</v>
      </c>
    </row>
    <row r="47" spans="1:17" x14ac:dyDescent="0.35">
      <c r="A47" t="s">
        <v>534</v>
      </c>
      <c r="B47">
        <v>1141.8499999999999</v>
      </c>
      <c r="C47">
        <v>0</v>
      </c>
      <c r="D47">
        <v>22711.66</v>
      </c>
      <c r="E47">
        <v>0</v>
      </c>
      <c r="F47">
        <v>784559.75</v>
      </c>
      <c r="G47" t="s">
        <v>486</v>
      </c>
      <c r="H47" t="s">
        <v>484</v>
      </c>
      <c r="I47" t="s">
        <v>487</v>
      </c>
      <c r="J47" t="s">
        <v>484</v>
      </c>
      <c r="K47">
        <v>73239.47</v>
      </c>
      <c r="L47">
        <v>119.72</v>
      </c>
      <c r="M47">
        <v>0</v>
      </c>
      <c r="N47">
        <v>2204.15</v>
      </c>
      <c r="O47">
        <v>0</v>
      </c>
      <c r="P47">
        <v>63.21</v>
      </c>
      <c r="Q47">
        <v>142520.07999999999</v>
      </c>
    </row>
    <row r="48" spans="1:17" x14ac:dyDescent="0.35">
      <c r="A48" t="s">
        <v>535</v>
      </c>
      <c r="B48">
        <v>4141.47</v>
      </c>
      <c r="C48">
        <v>0</v>
      </c>
      <c r="D48">
        <v>11826.46</v>
      </c>
      <c r="E48">
        <v>0</v>
      </c>
      <c r="F48">
        <v>370344.96000000002</v>
      </c>
      <c r="G48" t="s">
        <v>488</v>
      </c>
      <c r="H48" t="s">
        <v>484</v>
      </c>
      <c r="I48" t="s">
        <v>489</v>
      </c>
      <c r="J48" t="s">
        <v>484</v>
      </c>
      <c r="K48">
        <v>35790.82</v>
      </c>
      <c r="L48">
        <v>428.04</v>
      </c>
      <c r="M48">
        <v>0</v>
      </c>
      <c r="N48">
        <v>1012.3</v>
      </c>
      <c r="O48">
        <v>0</v>
      </c>
      <c r="P48">
        <v>156.81</v>
      </c>
      <c r="Q48">
        <v>225902.79</v>
      </c>
    </row>
    <row r="49" spans="1:17" x14ac:dyDescent="0.35">
      <c r="A49" t="s">
        <v>536</v>
      </c>
      <c r="B49">
        <v>3356.24</v>
      </c>
      <c r="C49">
        <v>0</v>
      </c>
      <c r="D49">
        <v>20045.38</v>
      </c>
      <c r="E49">
        <v>0</v>
      </c>
      <c r="F49">
        <v>431279.63</v>
      </c>
      <c r="G49" t="s">
        <v>492</v>
      </c>
      <c r="H49" t="s">
        <v>484</v>
      </c>
      <c r="I49" t="s">
        <v>493</v>
      </c>
      <c r="J49" t="s">
        <v>484</v>
      </c>
      <c r="K49">
        <v>53345.16</v>
      </c>
      <c r="L49">
        <v>410.92</v>
      </c>
      <c r="M49">
        <v>0</v>
      </c>
      <c r="N49">
        <v>2246.7800000000002</v>
      </c>
      <c r="O49">
        <v>0</v>
      </c>
      <c r="P49">
        <v>659.64</v>
      </c>
      <c r="Q49">
        <v>1479600.95</v>
      </c>
    </row>
    <row r="50" spans="1:17" x14ac:dyDescent="0.35">
      <c r="A50" t="s">
        <v>537</v>
      </c>
      <c r="B50">
        <v>0</v>
      </c>
      <c r="C50">
        <v>0</v>
      </c>
      <c r="D50">
        <v>410.23</v>
      </c>
      <c r="E50">
        <v>0</v>
      </c>
      <c r="F50">
        <v>56397.29</v>
      </c>
      <c r="G50" t="s">
        <v>484</v>
      </c>
      <c r="H50" t="s">
        <v>484</v>
      </c>
      <c r="I50" t="s">
        <v>485</v>
      </c>
      <c r="J50" t="s">
        <v>484</v>
      </c>
      <c r="K50">
        <v>7680.21</v>
      </c>
      <c r="L50">
        <v>0</v>
      </c>
      <c r="M50">
        <v>0</v>
      </c>
      <c r="N50">
        <v>37.71</v>
      </c>
      <c r="O50">
        <v>0</v>
      </c>
      <c r="P50">
        <v>3707.01</v>
      </c>
      <c r="Q50">
        <v>142596.26999999999</v>
      </c>
    </row>
    <row r="51" spans="1:17" x14ac:dyDescent="0.35">
      <c r="A51" t="s">
        <v>538</v>
      </c>
      <c r="B51">
        <v>1149.8699999999999</v>
      </c>
      <c r="C51">
        <v>0</v>
      </c>
      <c r="D51">
        <v>28570.61</v>
      </c>
      <c r="E51">
        <v>0</v>
      </c>
      <c r="F51">
        <v>901657.33</v>
      </c>
      <c r="G51" t="s">
        <v>486</v>
      </c>
      <c r="H51" t="s">
        <v>484</v>
      </c>
      <c r="I51" t="s">
        <v>487</v>
      </c>
      <c r="J51" t="s">
        <v>484</v>
      </c>
      <c r="K51">
        <v>67618.759999999995</v>
      </c>
      <c r="L51">
        <v>97.14</v>
      </c>
      <c r="M51">
        <v>0</v>
      </c>
      <c r="N51">
        <v>2049.42</v>
      </c>
      <c r="O51">
        <v>0</v>
      </c>
      <c r="P51">
        <v>63.55</v>
      </c>
      <c r="Q51">
        <v>142954.51999999999</v>
      </c>
    </row>
    <row r="52" spans="1:17" x14ac:dyDescent="0.35">
      <c r="A52" t="s">
        <v>539</v>
      </c>
      <c r="B52">
        <v>0</v>
      </c>
      <c r="C52">
        <v>0</v>
      </c>
      <c r="D52">
        <v>336.67</v>
      </c>
      <c r="E52">
        <v>0</v>
      </c>
      <c r="F52">
        <v>63890.51</v>
      </c>
      <c r="G52" t="s">
        <v>484</v>
      </c>
      <c r="H52" t="s">
        <v>484</v>
      </c>
      <c r="I52" t="s">
        <v>485</v>
      </c>
      <c r="J52" t="s">
        <v>484</v>
      </c>
      <c r="K52">
        <v>8819.7999999999993</v>
      </c>
      <c r="L52">
        <v>0</v>
      </c>
      <c r="M52">
        <v>0</v>
      </c>
      <c r="N52">
        <v>37.51</v>
      </c>
      <c r="O52">
        <v>0</v>
      </c>
      <c r="P52">
        <v>3304.14</v>
      </c>
      <c r="Q52">
        <v>166002.81</v>
      </c>
    </row>
    <row r="53" spans="1:17" x14ac:dyDescent="0.35">
      <c r="A53" t="s">
        <v>540</v>
      </c>
      <c r="B53">
        <v>0</v>
      </c>
      <c r="C53">
        <v>0</v>
      </c>
      <c r="D53">
        <v>318.83</v>
      </c>
      <c r="E53">
        <v>0</v>
      </c>
      <c r="F53">
        <v>52635.16</v>
      </c>
      <c r="G53" t="s">
        <v>484</v>
      </c>
      <c r="H53" t="s">
        <v>484</v>
      </c>
      <c r="I53" t="s">
        <v>485</v>
      </c>
      <c r="J53" t="s">
        <v>484</v>
      </c>
      <c r="K53">
        <v>9318.9500000000007</v>
      </c>
      <c r="L53">
        <v>0</v>
      </c>
      <c r="M53">
        <v>0</v>
      </c>
      <c r="N53">
        <v>53.05</v>
      </c>
      <c r="O53">
        <v>0</v>
      </c>
      <c r="P53">
        <v>2822.25</v>
      </c>
      <c r="Q53">
        <v>151693.82</v>
      </c>
    </row>
    <row r="54" spans="1:17" x14ac:dyDescent="0.35">
      <c r="A54" t="s">
        <v>541</v>
      </c>
      <c r="B54">
        <v>4034.03</v>
      </c>
      <c r="C54">
        <v>0</v>
      </c>
      <c r="D54">
        <v>18985.43</v>
      </c>
      <c r="E54">
        <v>0</v>
      </c>
      <c r="F54">
        <v>583719.25</v>
      </c>
      <c r="G54" t="s">
        <v>492</v>
      </c>
      <c r="H54" t="s">
        <v>484</v>
      </c>
      <c r="I54" t="s">
        <v>493</v>
      </c>
      <c r="J54" t="s">
        <v>484</v>
      </c>
      <c r="K54">
        <v>49196.62</v>
      </c>
      <c r="L54">
        <v>338.33</v>
      </c>
      <c r="M54">
        <v>0</v>
      </c>
      <c r="N54">
        <v>2240.77</v>
      </c>
      <c r="O54">
        <v>0</v>
      </c>
      <c r="P54">
        <v>565.57000000000005</v>
      </c>
      <c r="Q54">
        <v>1274066.6200000001</v>
      </c>
    </row>
    <row r="55" spans="1:17" x14ac:dyDescent="0.35">
      <c r="A55" t="s">
        <v>542</v>
      </c>
      <c r="B55">
        <v>0</v>
      </c>
      <c r="C55">
        <v>0</v>
      </c>
      <c r="D55">
        <v>352.92</v>
      </c>
      <c r="E55">
        <v>0</v>
      </c>
      <c r="F55">
        <v>59860.58</v>
      </c>
      <c r="G55" t="s">
        <v>484</v>
      </c>
      <c r="H55" t="s">
        <v>484</v>
      </c>
      <c r="I55" t="s">
        <v>485</v>
      </c>
      <c r="J55" t="s">
        <v>484</v>
      </c>
      <c r="K55">
        <v>9477.8700000000008</v>
      </c>
      <c r="L55">
        <v>0</v>
      </c>
      <c r="M55">
        <v>0</v>
      </c>
      <c r="N55">
        <v>46</v>
      </c>
      <c r="O55">
        <v>0</v>
      </c>
      <c r="P55">
        <v>3442.07</v>
      </c>
      <c r="Q55">
        <v>149621.51</v>
      </c>
    </row>
    <row r="56" spans="1:17" x14ac:dyDescent="0.35">
      <c r="A56" t="s">
        <v>543</v>
      </c>
      <c r="B56">
        <v>3505.65</v>
      </c>
      <c r="C56">
        <v>0</v>
      </c>
      <c r="D56">
        <v>21251.49</v>
      </c>
      <c r="E56">
        <v>0</v>
      </c>
      <c r="F56">
        <v>557974.21</v>
      </c>
      <c r="G56" t="s">
        <v>492</v>
      </c>
      <c r="H56" t="s">
        <v>484</v>
      </c>
      <c r="I56" t="s">
        <v>493</v>
      </c>
      <c r="J56" t="s">
        <v>484</v>
      </c>
      <c r="K56">
        <v>39251.35</v>
      </c>
      <c r="L56">
        <v>359.55</v>
      </c>
      <c r="M56">
        <v>0</v>
      </c>
      <c r="N56">
        <v>1615.69</v>
      </c>
      <c r="O56">
        <v>0</v>
      </c>
      <c r="P56">
        <v>573.66999999999996</v>
      </c>
      <c r="Q56">
        <v>1694919.91</v>
      </c>
    </row>
    <row r="57" spans="1:17" x14ac:dyDescent="0.35">
      <c r="A57" t="s">
        <v>544</v>
      </c>
      <c r="B57">
        <v>4044.22</v>
      </c>
      <c r="C57">
        <v>0</v>
      </c>
      <c r="D57">
        <v>20012.080000000002</v>
      </c>
      <c r="E57">
        <v>0</v>
      </c>
      <c r="F57">
        <v>433267.63</v>
      </c>
      <c r="G57" t="s">
        <v>492</v>
      </c>
      <c r="H57" t="s">
        <v>484</v>
      </c>
      <c r="I57" t="s">
        <v>493</v>
      </c>
      <c r="J57" t="s">
        <v>484</v>
      </c>
      <c r="K57">
        <v>47061.77</v>
      </c>
      <c r="L57">
        <v>361.36</v>
      </c>
      <c r="M57">
        <v>0</v>
      </c>
      <c r="N57">
        <v>2313.37</v>
      </c>
      <c r="O57">
        <v>0</v>
      </c>
      <c r="P57">
        <v>602.14</v>
      </c>
      <c r="Q57">
        <v>1227333.1599999999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1EC2-0254-477F-8E36-F1963343CA41}">
  <sheetPr codeName="Sheet4"/>
  <dimension ref="A1:K56"/>
  <sheetViews>
    <sheetView workbookViewId="0">
      <selection sqref="A1:XFD1"/>
    </sheetView>
  </sheetViews>
  <sheetFormatPr defaultRowHeight="14.5" x14ac:dyDescent="0.35"/>
  <cols>
    <col min="1" max="1" width="11.81640625" bestFit="1" customWidth="1"/>
    <col min="2" max="2" width="40" bestFit="1" customWidth="1"/>
    <col min="3" max="3" width="35.81640625" bestFit="1" customWidth="1"/>
    <col min="4" max="4" width="30.81640625" bestFit="1" customWidth="1"/>
    <col min="5" max="5" width="26.90625" bestFit="1" customWidth="1"/>
    <col min="6" max="6" width="50.26953125" bestFit="1" customWidth="1"/>
    <col min="7" max="7" width="33.54296875" bestFit="1" customWidth="1"/>
    <col min="8" max="8" width="38.453125" bestFit="1" customWidth="1"/>
    <col min="9" max="9" width="28.54296875" bestFit="1" customWidth="1"/>
    <col min="10" max="10" width="54.1796875" bestFit="1" customWidth="1"/>
    <col min="11" max="11" width="46.7265625" bestFit="1" customWidth="1"/>
  </cols>
  <sheetData>
    <row r="1" spans="1:11" x14ac:dyDescent="0.35">
      <c r="A1" s="7" t="s">
        <v>53</v>
      </c>
      <c r="B1" s="7" t="s">
        <v>239</v>
      </c>
      <c r="C1" s="7" t="s">
        <v>240</v>
      </c>
      <c r="D1" s="7" t="s">
        <v>241</v>
      </c>
      <c r="E1" s="7" t="s">
        <v>242</v>
      </c>
      <c r="F1" s="7" t="s">
        <v>545</v>
      </c>
      <c r="G1" s="7" t="s">
        <v>243</v>
      </c>
      <c r="H1" s="7" t="s">
        <v>244</v>
      </c>
      <c r="I1" s="7" t="s">
        <v>546</v>
      </c>
      <c r="J1" s="7" t="s">
        <v>547</v>
      </c>
      <c r="K1" s="7" t="s">
        <v>548</v>
      </c>
    </row>
    <row r="2" spans="1:11" x14ac:dyDescent="0.35">
      <c r="A2" t="s">
        <v>115</v>
      </c>
      <c r="B2" t="s">
        <v>549</v>
      </c>
      <c r="C2" t="s">
        <v>549</v>
      </c>
      <c r="D2" t="s">
        <v>549</v>
      </c>
      <c r="E2" t="s">
        <v>549</v>
      </c>
      <c r="F2" t="s">
        <v>549</v>
      </c>
      <c r="G2" t="s">
        <v>549</v>
      </c>
      <c r="H2" t="s">
        <v>550</v>
      </c>
      <c r="I2" t="s">
        <v>484</v>
      </c>
      <c r="J2" t="s">
        <v>551</v>
      </c>
      <c r="K2" t="s">
        <v>549</v>
      </c>
    </row>
    <row r="3" spans="1:11" x14ac:dyDescent="0.35">
      <c r="A3" t="s">
        <v>121</v>
      </c>
      <c r="B3" t="s">
        <v>549</v>
      </c>
      <c r="C3" t="s">
        <v>552</v>
      </c>
      <c r="D3" t="s">
        <v>549</v>
      </c>
      <c r="E3" t="s">
        <v>549</v>
      </c>
      <c r="F3" t="s">
        <v>549</v>
      </c>
      <c r="G3" t="s">
        <v>552</v>
      </c>
      <c r="H3" t="s">
        <v>553</v>
      </c>
      <c r="I3" t="s">
        <v>554</v>
      </c>
      <c r="J3" t="s">
        <v>555</v>
      </c>
      <c r="K3" t="s">
        <v>556</v>
      </c>
    </row>
    <row r="4" spans="1:11" x14ac:dyDescent="0.35">
      <c r="A4" t="s">
        <v>125</v>
      </c>
      <c r="B4" t="s">
        <v>549</v>
      </c>
      <c r="C4" t="s">
        <v>557</v>
      </c>
      <c r="D4" t="s">
        <v>549</v>
      </c>
      <c r="E4" t="s">
        <v>549</v>
      </c>
      <c r="F4" t="s">
        <v>549</v>
      </c>
      <c r="G4" t="s">
        <v>557</v>
      </c>
      <c r="H4" t="s">
        <v>558</v>
      </c>
      <c r="I4" t="s">
        <v>559</v>
      </c>
      <c r="J4" t="s">
        <v>560</v>
      </c>
      <c r="K4" t="s">
        <v>561</v>
      </c>
    </row>
    <row r="5" spans="1:11" x14ac:dyDescent="0.35">
      <c r="A5" t="s">
        <v>129</v>
      </c>
      <c r="B5" t="s">
        <v>549</v>
      </c>
      <c r="C5" t="s">
        <v>562</v>
      </c>
      <c r="D5" t="s">
        <v>549</v>
      </c>
      <c r="E5" t="s">
        <v>549</v>
      </c>
      <c r="F5" t="s">
        <v>549</v>
      </c>
      <c r="G5" t="s">
        <v>562</v>
      </c>
      <c r="H5" t="s">
        <v>563</v>
      </c>
      <c r="I5" t="s">
        <v>564</v>
      </c>
      <c r="J5" t="s">
        <v>565</v>
      </c>
      <c r="K5" t="s">
        <v>566</v>
      </c>
    </row>
    <row r="6" spans="1:11" x14ac:dyDescent="0.35">
      <c r="A6" t="s">
        <v>133</v>
      </c>
      <c r="B6" t="s">
        <v>549</v>
      </c>
      <c r="C6" t="s">
        <v>567</v>
      </c>
      <c r="D6" t="s">
        <v>549</v>
      </c>
      <c r="E6" t="s">
        <v>549</v>
      </c>
      <c r="F6" t="s">
        <v>549</v>
      </c>
      <c r="G6" t="s">
        <v>567</v>
      </c>
      <c r="H6" t="s">
        <v>568</v>
      </c>
      <c r="I6" t="s">
        <v>569</v>
      </c>
      <c r="J6" t="s">
        <v>570</v>
      </c>
      <c r="K6" t="s">
        <v>571</v>
      </c>
    </row>
    <row r="7" spans="1:11" x14ac:dyDescent="0.35">
      <c r="A7" t="s">
        <v>138</v>
      </c>
      <c r="B7" t="s">
        <v>549</v>
      </c>
      <c r="C7" t="s">
        <v>549</v>
      </c>
      <c r="D7" t="s">
        <v>549</v>
      </c>
      <c r="E7" t="s">
        <v>549</v>
      </c>
      <c r="F7" t="s">
        <v>549</v>
      </c>
      <c r="G7" t="s">
        <v>549</v>
      </c>
      <c r="H7" t="s">
        <v>572</v>
      </c>
      <c r="I7" t="s">
        <v>484</v>
      </c>
      <c r="J7" t="s">
        <v>573</v>
      </c>
      <c r="K7" t="s">
        <v>549</v>
      </c>
    </row>
    <row r="8" spans="1:11" x14ac:dyDescent="0.35">
      <c r="A8" t="s">
        <v>142</v>
      </c>
      <c r="B8" t="s">
        <v>549</v>
      </c>
      <c r="C8" t="s">
        <v>574</v>
      </c>
      <c r="D8" t="s">
        <v>549</v>
      </c>
      <c r="E8" t="s">
        <v>549</v>
      </c>
      <c r="F8" t="s">
        <v>549</v>
      </c>
      <c r="G8" t="s">
        <v>574</v>
      </c>
      <c r="H8" t="s">
        <v>575</v>
      </c>
      <c r="I8" t="s">
        <v>576</v>
      </c>
      <c r="J8" t="s">
        <v>577</v>
      </c>
      <c r="K8" t="s">
        <v>578</v>
      </c>
    </row>
    <row r="9" spans="1:11" x14ac:dyDescent="0.35">
      <c r="A9" t="s">
        <v>146</v>
      </c>
      <c r="B9" t="s">
        <v>549</v>
      </c>
      <c r="C9" t="s">
        <v>574</v>
      </c>
      <c r="D9" t="s">
        <v>549</v>
      </c>
      <c r="E9" t="s">
        <v>549</v>
      </c>
      <c r="F9" t="s">
        <v>549</v>
      </c>
      <c r="G9" t="s">
        <v>574</v>
      </c>
      <c r="H9" t="s">
        <v>575</v>
      </c>
      <c r="I9" t="s">
        <v>576</v>
      </c>
      <c r="J9" t="s">
        <v>577</v>
      </c>
      <c r="K9" t="s">
        <v>578</v>
      </c>
    </row>
    <row r="10" spans="1:11" x14ac:dyDescent="0.35">
      <c r="A10" t="s">
        <v>150</v>
      </c>
      <c r="B10" t="s">
        <v>549</v>
      </c>
      <c r="C10" t="s">
        <v>574</v>
      </c>
      <c r="D10" t="s">
        <v>549</v>
      </c>
      <c r="E10" t="s">
        <v>549</v>
      </c>
      <c r="F10" t="s">
        <v>549</v>
      </c>
      <c r="G10" t="s">
        <v>574</v>
      </c>
      <c r="H10" t="s">
        <v>575</v>
      </c>
      <c r="I10" t="s">
        <v>576</v>
      </c>
      <c r="J10" t="s">
        <v>577</v>
      </c>
      <c r="K10" t="s">
        <v>578</v>
      </c>
    </row>
    <row r="11" spans="1:11" x14ac:dyDescent="0.35">
      <c r="A11" t="s">
        <v>154</v>
      </c>
      <c r="B11" t="s">
        <v>549</v>
      </c>
      <c r="C11" t="s">
        <v>574</v>
      </c>
      <c r="D11" t="s">
        <v>549</v>
      </c>
      <c r="E11" t="s">
        <v>549</v>
      </c>
      <c r="F11" t="s">
        <v>549</v>
      </c>
      <c r="G11" t="s">
        <v>574</v>
      </c>
      <c r="H11" t="s">
        <v>575</v>
      </c>
      <c r="I11" t="s">
        <v>576</v>
      </c>
      <c r="J11" t="s">
        <v>577</v>
      </c>
      <c r="K11" t="s">
        <v>578</v>
      </c>
    </row>
    <row r="12" spans="1:11" x14ac:dyDescent="0.35">
      <c r="A12" t="s">
        <v>155</v>
      </c>
      <c r="B12" t="s">
        <v>549</v>
      </c>
      <c r="C12" t="s">
        <v>549</v>
      </c>
      <c r="D12" t="s">
        <v>549</v>
      </c>
      <c r="E12" t="s">
        <v>549</v>
      </c>
      <c r="F12" t="s">
        <v>549</v>
      </c>
      <c r="G12" t="s">
        <v>549</v>
      </c>
      <c r="H12" t="s">
        <v>549</v>
      </c>
      <c r="I12" t="s">
        <v>484</v>
      </c>
      <c r="J12" t="s">
        <v>549</v>
      </c>
      <c r="K12" t="s">
        <v>549</v>
      </c>
    </row>
    <row r="13" spans="1:11" x14ac:dyDescent="0.35">
      <c r="A13" t="s">
        <v>157</v>
      </c>
      <c r="B13" t="s">
        <v>549</v>
      </c>
      <c r="C13" t="s">
        <v>549</v>
      </c>
      <c r="D13" t="s">
        <v>549</v>
      </c>
      <c r="E13" t="s">
        <v>549</v>
      </c>
      <c r="F13" t="s">
        <v>549</v>
      </c>
      <c r="G13" t="s">
        <v>549</v>
      </c>
      <c r="H13" t="s">
        <v>549</v>
      </c>
      <c r="I13" t="s">
        <v>484</v>
      </c>
      <c r="J13" t="s">
        <v>549</v>
      </c>
      <c r="K13" t="s">
        <v>549</v>
      </c>
    </row>
    <row r="14" spans="1:11" x14ac:dyDescent="0.35">
      <c r="A14" t="s">
        <v>158</v>
      </c>
      <c r="B14" t="s">
        <v>549</v>
      </c>
      <c r="C14" t="s">
        <v>549</v>
      </c>
      <c r="D14" t="s">
        <v>549</v>
      </c>
      <c r="E14" t="s">
        <v>549</v>
      </c>
      <c r="F14" t="s">
        <v>549</v>
      </c>
      <c r="G14" t="s">
        <v>549</v>
      </c>
      <c r="H14" t="s">
        <v>549</v>
      </c>
      <c r="I14" t="s">
        <v>484</v>
      </c>
      <c r="J14" t="s">
        <v>549</v>
      </c>
      <c r="K14" t="s">
        <v>549</v>
      </c>
    </row>
    <row r="15" spans="1:11" x14ac:dyDescent="0.35">
      <c r="A15" t="s">
        <v>159</v>
      </c>
      <c r="B15" t="s">
        <v>549</v>
      </c>
      <c r="C15" t="s">
        <v>549</v>
      </c>
      <c r="D15" t="s">
        <v>549</v>
      </c>
      <c r="E15" t="s">
        <v>549</v>
      </c>
      <c r="F15" t="s">
        <v>549</v>
      </c>
      <c r="G15" t="s">
        <v>549</v>
      </c>
      <c r="H15" t="s">
        <v>549</v>
      </c>
      <c r="I15" t="s">
        <v>484</v>
      </c>
      <c r="J15" t="s">
        <v>549</v>
      </c>
      <c r="K15" t="s">
        <v>549</v>
      </c>
    </row>
    <row r="16" spans="1:11" x14ac:dyDescent="0.35">
      <c r="A16" t="s">
        <v>161</v>
      </c>
      <c r="B16" t="s">
        <v>549</v>
      </c>
      <c r="C16" t="s">
        <v>549</v>
      </c>
      <c r="D16" t="s">
        <v>549</v>
      </c>
      <c r="E16" t="s">
        <v>549</v>
      </c>
      <c r="F16" t="s">
        <v>549</v>
      </c>
      <c r="G16" t="s">
        <v>549</v>
      </c>
      <c r="H16" t="s">
        <v>549</v>
      </c>
      <c r="I16" t="s">
        <v>484</v>
      </c>
      <c r="J16" t="s">
        <v>549</v>
      </c>
      <c r="K16" t="s">
        <v>549</v>
      </c>
    </row>
    <row r="17" spans="1:11" x14ac:dyDescent="0.35">
      <c r="A17" t="s">
        <v>162</v>
      </c>
      <c r="B17" t="s">
        <v>549</v>
      </c>
      <c r="C17" t="s">
        <v>549</v>
      </c>
      <c r="D17" t="s">
        <v>549</v>
      </c>
      <c r="E17" t="s">
        <v>549</v>
      </c>
      <c r="F17" t="s">
        <v>549</v>
      </c>
      <c r="G17" t="s">
        <v>549</v>
      </c>
      <c r="H17" t="s">
        <v>549</v>
      </c>
      <c r="I17" t="s">
        <v>484</v>
      </c>
      <c r="J17" t="s">
        <v>549</v>
      </c>
      <c r="K17" t="s">
        <v>549</v>
      </c>
    </row>
    <row r="18" spans="1:11" x14ac:dyDescent="0.35">
      <c r="A18" t="s">
        <v>163</v>
      </c>
      <c r="B18" t="s">
        <v>549</v>
      </c>
      <c r="C18" t="s">
        <v>549</v>
      </c>
      <c r="D18" t="s">
        <v>549</v>
      </c>
      <c r="E18" t="s">
        <v>549</v>
      </c>
      <c r="F18" t="s">
        <v>549</v>
      </c>
      <c r="G18" t="s">
        <v>549</v>
      </c>
      <c r="H18" t="s">
        <v>549</v>
      </c>
      <c r="I18" t="s">
        <v>484</v>
      </c>
      <c r="J18" t="s">
        <v>549</v>
      </c>
      <c r="K18" t="s">
        <v>549</v>
      </c>
    </row>
    <row r="19" spans="1:11" x14ac:dyDescent="0.35">
      <c r="A19" t="s">
        <v>165</v>
      </c>
      <c r="B19" t="s">
        <v>549</v>
      </c>
      <c r="C19" t="s">
        <v>549</v>
      </c>
      <c r="D19" t="s">
        <v>549</v>
      </c>
      <c r="E19" t="s">
        <v>549</v>
      </c>
      <c r="F19" t="s">
        <v>549</v>
      </c>
      <c r="G19" t="s">
        <v>549</v>
      </c>
      <c r="H19" t="s">
        <v>549</v>
      </c>
      <c r="I19" t="s">
        <v>484</v>
      </c>
      <c r="J19" t="s">
        <v>549</v>
      </c>
      <c r="K19" t="s">
        <v>549</v>
      </c>
    </row>
    <row r="20" spans="1:11" x14ac:dyDescent="0.35">
      <c r="A20" t="s">
        <v>166</v>
      </c>
      <c r="B20" t="s">
        <v>549</v>
      </c>
      <c r="C20" t="s">
        <v>549</v>
      </c>
      <c r="D20" t="s">
        <v>549</v>
      </c>
      <c r="E20" t="s">
        <v>549</v>
      </c>
      <c r="F20" t="s">
        <v>549</v>
      </c>
      <c r="G20" t="s">
        <v>549</v>
      </c>
      <c r="H20" t="s">
        <v>549</v>
      </c>
      <c r="I20" t="s">
        <v>484</v>
      </c>
      <c r="J20" t="s">
        <v>549</v>
      </c>
      <c r="K20" t="s">
        <v>549</v>
      </c>
    </row>
    <row r="21" spans="1:11" x14ac:dyDescent="0.35">
      <c r="A21" t="s">
        <v>167</v>
      </c>
      <c r="B21" t="s">
        <v>549</v>
      </c>
      <c r="C21" t="s">
        <v>549</v>
      </c>
      <c r="D21" t="s">
        <v>549</v>
      </c>
      <c r="E21" t="s">
        <v>549</v>
      </c>
      <c r="F21" t="s">
        <v>549</v>
      </c>
      <c r="G21" t="s">
        <v>549</v>
      </c>
      <c r="H21" t="s">
        <v>549</v>
      </c>
      <c r="I21" t="s">
        <v>484</v>
      </c>
      <c r="J21" t="s">
        <v>549</v>
      </c>
      <c r="K21" t="s">
        <v>549</v>
      </c>
    </row>
    <row r="22" spans="1:11" x14ac:dyDescent="0.35">
      <c r="A22" t="s">
        <v>171</v>
      </c>
      <c r="B22" t="s">
        <v>549</v>
      </c>
      <c r="C22" t="s">
        <v>549</v>
      </c>
      <c r="D22" t="s">
        <v>549</v>
      </c>
      <c r="E22" t="s">
        <v>549</v>
      </c>
      <c r="F22" t="s">
        <v>549</v>
      </c>
      <c r="G22" t="s">
        <v>549</v>
      </c>
      <c r="H22" t="s">
        <v>549</v>
      </c>
      <c r="I22" t="s">
        <v>484</v>
      </c>
      <c r="J22" t="s">
        <v>549</v>
      </c>
      <c r="K22" t="s">
        <v>549</v>
      </c>
    </row>
    <row r="23" spans="1:11" x14ac:dyDescent="0.35">
      <c r="A23" t="s">
        <v>172</v>
      </c>
      <c r="B23" t="s">
        <v>549</v>
      </c>
      <c r="C23" t="s">
        <v>549</v>
      </c>
      <c r="D23" t="s">
        <v>549</v>
      </c>
      <c r="E23" t="s">
        <v>549</v>
      </c>
      <c r="F23" t="s">
        <v>549</v>
      </c>
      <c r="G23" t="s">
        <v>549</v>
      </c>
      <c r="H23" t="s">
        <v>549</v>
      </c>
      <c r="I23" t="s">
        <v>484</v>
      </c>
      <c r="J23" t="s">
        <v>549</v>
      </c>
      <c r="K23" t="s">
        <v>549</v>
      </c>
    </row>
    <row r="24" spans="1:11" x14ac:dyDescent="0.35">
      <c r="A24" t="s">
        <v>173</v>
      </c>
      <c r="B24" t="s">
        <v>549</v>
      </c>
      <c r="C24" t="s">
        <v>549</v>
      </c>
      <c r="D24" t="s">
        <v>549</v>
      </c>
      <c r="E24" t="s">
        <v>549</v>
      </c>
      <c r="F24" t="s">
        <v>549</v>
      </c>
      <c r="G24" t="s">
        <v>549</v>
      </c>
      <c r="H24" t="s">
        <v>549</v>
      </c>
      <c r="I24" t="s">
        <v>484</v>
      </c>
      <c r="J24" t="s">
        <v>549</v>
      </c>
      <c r="K24" t="s">
        <v>549</v>
      </c>
    </row>
    <row r="25" spans="1:11" x14ac:dyDescent="0.35">
      <c r="A25" t="s">
        <v>175</v>
      </c>
      <c r="B25" t="s">
        <v>549</v>
      </c>
      <c r="C25" t="s">
        <v>549</v>
      </c>
      <c r="D25" t="s">
        <v>549</v>
      </c>
      <c r="E25" t="s">
        <v>549</v>
      </c>
      <c r="F25" t="s">
        <v>549</v>
      </c>
      <c r="G25" t="s">
        <v>549</v>
      </c>
      <c r="H25" t="s">
        <v>549</v>
      </c>
      <c r="I25" t="s">
        <v>484</v>
      </c>
      <c r="J25" t="s">
        <v>549</v>
      </c>
      <c r="K25" t="s">
        <v>549</v>
      </c>
    </row>
    <row r="26" spans="1:11" x14ac:dyDescent="0.35">
      <c r="A26" t="s">
        <v>176</v>
      </c>
      <c r="B26" t="s">
        <v>549</v>
      </c>
      <c r="C26" t="s">
        <v>549</v>
      </c>
      <c r="D26" t="s">
        <v>549</v>
      </c>
      <c r="E26" t="s">
        <v>549</v>
      </c>
      <c r="F26" t="s">
        <v>549</v>
      </c>
      <c r="G26" t="s">
        <v>549</v>
      </c>
      <c r="H26" t="s">
        <v>549</v>
      </c>
      <c r="I26" t="s">
        <v>484</v>
      </c>
      <c r="J26" t="s">
        <v>549</v>
      </c>
      <c r="K26" t="s">
        <v>549</v>
      </c>
    </row>
    <row r="27" spans="1:11" x14ac:dyDescent="0.35">
      <c r="A27" t="s">
        <v>177</v>
      </c>
      <c r="B27" t="s">
        <v>549</v>
      </c>
      <c r="C27" t="s">
        <v>549</v>
      </c>
      <c r="D27" t="s">
        <v>549</v>
      </c>
      <c r="E27" t="s">
        <v>549</v>
      </c>
      <c r="F27" t="s">
        <v>549</v>
      </c>
      <c r="G27" t="s">
        <v>549</v>
      </c>
      <c r="H27" t="s">
        <v>549</v>
      </c>
      <c r="I27" t="s">
        <v>484</v>
      </c>
      <c r="J27" t="s">
        <v>549</v>
      </c>
      <c r="K27" t="s">
        <v>549</v>
      </c>
    </row>
    <row r="28" spans="1:11" x14ac:dyDescent="0.35">
      <c r="A28" t="s">
        <v>179</v>
      </c>
      <c r="B28" t="s">
        <v>549</v>
      </c>
      <c r="C28" t="s">
        <v>549</v>
      </c>
      <c r="D28" t="s">
        <v>549</v>
      </c>
      <c r="E28" t="s">
        <v>549</v>
      </c>
      <c r="F28" t="s">
        <v>549</v>
      </c>
      <c r="G28" t="s">
        <v>549</v>
      </c>
      <c r="H28" t="s">
        <v>549</v>
      </c>
      <c r="I28" t="s">
        <v>484</v>
      </c>
      <c r="J28" t="s">
        <v>549</v>
      </c>
      <c r="K28" t="s">
        <v>549</v>
      </c>
    </row>
    <row r="29" spans="1:11" x14ac:dyDescent="0.35">
      <c r="A29" t="s">
        <v>180</v>
      </c>
      <c r="B29" t="s">
        <v>549</v>
      </c>
      <c r="C29" t="s">
        <v>549</v>
      </c>
      <c r="D29" t="s">
        <v>549</v>
      </c>
      <c r="E29" t="s">
        <v>549</v>
      </c>
      <c r="F29" t="s">
        <v>549</v>
      </c>
      <c r="G29" t="s">
        <v>549</v>
      </c>
      <c r="H29" t="s">
        <v>549</v>
      </c>
      <c r="I29" t="s">
        <v>484</v>
      </c>
      <c r="J29" t="s">
        <v>549</v>
      </c>
      <c r="K29" t="s">
        <v>549</v>
      </c>
    </row>
    <row r="30" spans="1:11" x14ac:dyDescent="0.35">
      <c r="A30" t="s">
        <v>181</v>
      </c>
      <c r="B30" t="s">
        <v>549</v>
      </c>
      <c r="C30" t="s">
        <v>549</v>
      </c>
      <c r="D30" t="s">
        <v>549</v>
      </c>
      <c r="E30" t="s">
        <v>549</v>
      </c>
      <c r="F30" t="s">
        <v>549</v>
      </c>
      <c r="G30" t="s">
        <v>549</v>
      </c>
      <c r="H30" t="s">
        <v>549</v>
      </c>
      <c r="I30" t="s">
        <v>484</v>
      </c>
      <c r="J30" t="s">
        <v>549</v>
      </c>
      <c r="K30" t="s">
        <v>549</v>
      </c>
    </row>
    <row r="31" spans="1:11" x14ac:dyDescent="0.35">
      <c r="A31" t="s">
        <v>182</v>
      </c>
      <c r="B31" t="s">
        <v>549</v>
      </c>
      <c r="C31" t="s">
        <v>549</v>
      </c>
      <c r="D31" t="s">
        <v>549</v>
      </c>
      <c r="E31" t="s">
        <v>549</v>
      </c>
      <c r="F31" t="s">
        <v>549</v>
      </c>
      <c r="G31" t="s">
        <v>549</v>
      </c>
      <c r="H31" t="s">
        <v>549</v>
      </c>
      <c r="I31" t="s">
        <v>484</v>
      </c>
      <c r="J31" t="s">
        <v>549</v>
      </c>
      <c r="K31" t="s">
        <v>549</v>
      </c>
    </row>
    <row r="32" spans="1:11" x14ac:dyDescent="0.35">
      <c r="A32" t="s">
        <v>183</v>
      </c>
      <c r="B32" t="s">
        <v>549</v>
      </c>
      <c r="C32" t="s">
        <v>549</v>
      </c>
      <c r="D32" t="s">
        <v>549</v>
      </c>
      <c r="E32" t="s">
        <v>549</v>
      </c>
      <c r="F32" t="s">
        <v>549</v>
      </c>
      <c r="G32" t="s">
        <v>549</v>
      </c>
      <c r="H32" t="s">
        <v>549</v>
      </c>
      <c r="I32" t="s">
        <v>484</v>
      </c>
      <c r="J32" t="s">
        <v>549</v>
      </c>
      <c r="K32" t="s">
        <v>549</v>
      </c>
    </row>
    <row r="33" spans="1:11" x14ac:dyDescent="0.35">
      <c r="A33" t="s">
        <v>184</v>
      </c>
      <c r="B33" t="s">
        <v>549</v>
      </c>
      <c r="C33" t="s">
        <v>549</v>
      </c>
      <c r="D33" t="s">
        <v>549</v>
      </c>
      <c r="E33" t="s">
        <v>549</v>
      </c>
      <c r="F33" t="s">
        <v>549</v>
      </c>
      <c r="G33" t="s">
        <v>549</v>
      </c>
      <c r="H33" t="s">
        <v>549</v>
      </c>
      <c r="I33" t="s">
        <v>484</v>
      </c>
      <c r="J33" t="s">
        <v>549</v>
      </c>
      <c r="K33" t="s">
        <v>549</v>
      </c>
    </row>
    <row r="34" spans="1:11" x14ac:dyDescent="0.35">
      <c r="A34" t="s">
        <v>185</v>
      </c>
      <c r="B34" t="s">
        <v>549</v>
      </c>
      <c r="C34" t="s">
        <v>549</v>
      </c>
      <c r="D34" t="s">
        <v>549</v>
      </c>
      <c r="E34" t="s">
        <v>549</v>
      </c>
      <c r="F34" t="s">
        <v>549</v>
      </c>
      <c r="G34" t="s">
        <v>549</v>
      </c>
      <c r="H34" t="s">
        <v>549</v>
      </c>
      <c r="I34" t="s">
        <v>484</v>
      </c>
      <c r="J34" t="s">
        <v>549</v>
      </c>
      <c r="K34" t="s">
        <v>549</v>
      </c>
    </row>
    <row r="35" spans="1:11" x14ac:dyDescent="0.35">
      <c r="A35" t="s">
        <v>186</v>
      </c>
      <c r="B35" t="s">
        <v>549</v>
      </c>
      <c r="C35" t="s">
        <v>549</v>
      </c>
      <c r="D35" t="s">
        <v>549</v>
      </c>
      <c r="E35" t="s">
        <v>549</v>
      </c>
      <c r="F35" t="s">
        <v>549</v>
      </c>
      <c r="G35" t="s">
        <v>549</v>
      </c>
      <c r="H35" t="s">
        <v>549</v>
      </c>
      <c r="I35" t="s">
        <v>484</v>
      </c>
      <c r="J35" t="s">
        <v>549</v>
      </c>
      <c r="K35" t="s">
        <v>549</v>
      </c>
    </row>
    <row r="36" spans="1:11" x14ac:dyDescent="0.35">
      <c r="A36" t="s">
        <v>187</v>
      </c>
      <c r="B36" t="s">
        <v>549</v>
      </c>
      <c r="C36" t="s">
        <v>549</v>
      </c>
      <c r="D36" t="s">
        <v>549</v>
      </c>
      <c r="E36" t="s">
        <v>549</v>
      </c>
      <c r="F36" t="s">
        <v>549</v>
      </c>
      <c r="G36" t="s">
        <v>549</v>
      </c>
      <c r="H36" t="s">
        <v>549</v>
      </c>
      <c r="I36" t="s">
        <v>484</v>
      </c>
      <c r="J36" t="s">
        <v>549</v>
      </c>
      <c r="K36" t="s">
        <v>549</v>
      </c>
    </row>
    <row r="37" spans="1:11" x14ac:dyDescent="0.35">
      <c r="A37" t="s">
        <v>188</v>
      </c>
      <c r="B37" t="s">
        <v>549</v>
      </c>
      <c r="C37" t="s">
        <v>549</v>
      </c>
      <c r="D37" t="s">
        <v>549</v>
      </c>
      <c r="E37" t="s">
        <v>549</v>
      </c>
      <c r="F37" t="s">
        <v>549</v>
      </c>
      <c r="G37" t="s">
        <v>549</v>
      </c>
      <c r="H37" t="s">
        <v>549</v>
      </c>
      <c r="I37" t="s">
        <v>484</v>
      </c>
      <c r="J37" t="s">
        <v>549</v>
      </c>
      <c r="K37" t="s">
        <v>549</v>
      </c>
    </row>
    <row r="38" spans="1:11" x14ac:dyDescent="0.35">
      <c r="A38" t="s">
        <v>189</v>
      </c>
      <c r="B38" t="s">
        <v>549</v>
      </c>
      <c r="C38" t="s">
        <v>549</v>
      </c>
      <c r="D38" t="s">
        <v>549</v>
      </c>
      <c r="E38" t="s">
        <v>549</v>
      </c>
      <c r="F38" t="s">
        <v>549</v>
      </c>
      <c r="G38" t="s">
        <v>549</v>
      </c>
      <c r="H38" t="s">
        <v>549</v>
      </c>
      <c r="I38" t="s">
        <v>484</v>
      </c>
      <c r="J38" t="s">
        <v>549</v>
      </c>
      <c r="K38" t="s">
        <v>549</v>
      </c>
    </row>
    <row r="39" spans="1:11" x14ac:dyDescent="0.35">
      <c r="A39" t="s">
        <v>190</v>
      </c>
      <c r="B39" t="s">
        <v>549</v>
      </c>
      <c r="C39" t="s">
        <v>549</v>
      </c>
      <c r="D39" t="s">
        <v>549</v>
      </c>
      <c r="E39" t="s">
        <v>549</v>
      </c>
      <c r="F39" t="s">
        <v>549</v>
      </c>
      <c r="G39" t="s">
        <v>549</v>
      </c>
      <c r="H39" t="s">
        <v>549</v>
      </c>
      <c r="I39" t="s">
        <v>484</v>
      </c>
      <c r="J39" t="s">
        <v>549</v>
      </c>
      <c r="K39" t="s">
        <v>549</v>
      </c>
    </row>
    <row r="40" spans="1:11" x14ac:dyDescent="0.35">
      <c r="A40" t="s">
        <v>192</v>
      </c>
      <c r="B40" t="s">
        <v>549</v>
      </c>
      <c r="C40" t="s">
        <v>549</v>
      </c>
      <c r="D40" t="s">
        <v>549</v>
      </c>
      <c r="E40" t="s">
        <v>549</v>
      </c>
      <c r="F40" t="s">
        <v>549</v>
      </c>
      <c r="G40" t="s">
        <v>549</v>
      </c>
      <c r="H40" t="s">
        <v>549</v>
      </c>
      <c r="I40" t="s">
        <v>484</v>
      </c>
      <c r="J40" t="s">
        <v>549</v>
      </c>
      <c r="K40" t="s">
        <v>549</v>
      </c>
    </row>
    <row r="41" spans="1:11" x14ac:dyDescent="0.35">
      <c r="A41" t="s">
        <v>194</v>
      </c>
      <c r="B41" t="s">
        <v>549</v>
      </c>
      <c r="C41" t="s">
        <v>549</v>
      </c>
      <c r="D41" t="s">
        <v>549</v>
      </c>
      <c r="E41" t="s">
        <v>549</v>
      </c>
      <c r="F41" t="s">
        <v>549</v>
      </c>
      <c r="G41" t="s">
        <v>549</v>
      </c>
      <c r="H41" t="s">
        <v>549</v>
      </c>
      <c r="I41" t="s">
        <v>484</v>
      </c>
      <c r="J41" t="s">
        <v>549</v>
      </c>
      <c r="K41" t="s">
        <v>549</v>
      </c>
    </row>
    <row r="42" spans="1:11" x14ac:dyDescent="0.35">
      <c r="A42" t="s">
        <v>197</v>
      </c>
      <c r="B42" t="s">
        <v>549</v>
      </c>
      <c r="C42" t="s">
        <v>549</v>
      </c>
      <c r="D42" t="s">
        <v>549</v>
      </c>
      <c r="E42" t="s">
        <v>549</v>
      </c>
      <c r="F42" t="s">
        <v>549</v>
      </c>
      <c r="G42" t="s">
        <v>549</v>
      </c>
      <c r="H42" t="s">
        <v>579</v>
      </c>
      <c r="I42" t="s">
        <v>484</v>
      </c>
      <c r="J42" t="s">
        <v>580</v>
      </c>
      <c r="K42" t="s">
        <v>549</v>
      </c>
    </row>
    <row r="43" spans="1:11" x14ac:dyDescent="0.35">
      <c r="A43" t="s">
        <v>201</v>
      </c>
      <c r="B43" t="s">
        <v>549</v>
      </c>
      <c r="C43" t="s">
        <v>549</v>
      </c>
      <c r="D43" t="s">
        <v>549</v>
      </c>
      <c r="E43" t="s">
        <v>581</v>
      </c>
      <c r="F43" t="s">
        <v>549</v>
      </c>
      <c r="G43" t="s">
        <v>582</v>
      </c>
      <c r="H43" t="s">
        <v>549</v>
      </c>
      <c r="I43" t="s">
        <v>484</v>
      </c>
      <c r="J43" t="s">
        <v>549</v>
      </c>
      <c r="K43" t="s">
        <v>549</v>
      </c>
    </row>
    <row r="44" spans="1:11" x14ac:dyDescent="0.35">
      <c r="A44" t="s">
        <v>203</v>
      </c>
      <c r="B44" t="s">
        <v>549</v>
      </c>
      <c r="C44" t="s">
        <v>583</v>
      </c>
      <c r="D44" t="s">
        <v>549</v>
      </c>
      <c r="E44" t="s">
        <v>584</v>
      </c>
      <c r="F44" t="s">
        <v>549</v>
      </c>
      <c r="G44" t="s">
        <v>585</v>
      </c>
      <c r="H44" t="s">
        <v>586</v>
      </c>
      <c r="I44" t="s">
        <v>587</v>
      </c>
      <c r="J44" t="s">
        <v>588</v>
      </c>
      <c r="K44" t="s">
        <v>589</v>
      </c>
    </row>
    <row r="45" spans="1:11" x14ac:dyDescent="0.35">
      <c r="A45" t="s">
        <v>207</v>
      </c>
      <c r="B45" t="s">
        <v>549</v>
      </c>
      <c r="C45" t="s">
        <v>590</v>
      </c>
      <c r="D45" t="s">
        <v>549</v>
      </c>
      <c r="E45" t="s">
        <v>591</v>
      </c>
      <c r="F45" t="s">
        <v>549</v>
      </c>
      <c r="G45" t="s">
        <v>592</v>
      </c>
      <c r="H45" t="s">
        <v>593</v>
      </c>
      <c r="I45" t="s">
        <v>594</v>
      </c>
      <c r="J45" t="s">
        <v>595</v>
      </c>
      <c r="K45" t="s">
        <v>596</v>
      </c>
    </row>
    <row r="46" spans="1:11" x14ac:dyDescent="0.35">
      <c r="A46" t="s">
        <v>208</v>
      </c>
      <c r="B46" t="s">
        <v>549</v>
      </c>
      <c r="C46" t="s">
        <v>590</v>
      </c>
      <c r="D46" t="s">
        <v>549</v>
      </c>
      <c r="E46" t="s">
        <v>591</v>
      </c>
      <c r="F46" t="s">
        <v>549</v>
      </c>
      <c r="G46" t="s">
        <v>592</v>
      </c>
      <c r="H46" t="s">
        <v>593</v>
      </c>
      <c r="I46" t="s">
        <v>594</v>
      </c>
      <c r="J46" t="s">
        <v>595</v>
      </c>
      <c r="K46" t="s">
        <v>596</v>
      </c>
    </row>
    <row r="47" spans="1:11" x14ac:dyDescent="0.35">
      <c r="A47" t="s">
        <v>211</v>
      </c>
      <c r="B47" t="s">
        <v>549</v>
      </c>
      <c r="C47" t="s">
        <v>597</v>
      </c>
      <c r="D47" t="s">
        <v>549</v>
      </c>
      <c r="E47" t="s">
        <v>598</v>
      </c>
      <c r="F47" t="s">
        <v>549</v>
      </c>
      <c r="G47" t="s">
        <v>599</v>
      </c>
      <c r="H47" t="s">
        <v>600</v>
      </c>
      <c r="I47" t="s">
        <v>601</v>
      </c>
      <c r="J47" t="s">
        <v>602</v>
      </c>
      <c r="K47" t="s">
        <v>603</v>
      </c>
    </row>
    <row r="48" spans="1:11" x14ac:dyDescent="0.35">
      <c r="A48" t="s">
        <v>212</v>
      </c>
      <c r="B48" t="s">
        <v>549</v>
      </c>
      <c r="C48" t="s">
        <v>597</v>
      </c>
      <c r="D48" t="s">
        <v>549</v>
      </c>
      <c r="E48" t="s">
        <v>598</v>
      </c>
      <c r="F48" t="s">
        <v>549</v>
      </c>
      <c r="G48" t="s">
        <v>599</v>
      </c>
      <c r="H48" t="s">
        <v>600</v>
      </c>
      <c r="I48" t="s">
        <v>601</v>
      </c>
      <c r="J48" t="s">
        <v>602</v>
      </c>
      <c r="K48" t="s">
        <v>603</v>
      </c>
    </row>
    <row r="49" spans="1:11" x14ac:dyDescent="0.35">
      <c r="A49" t="s">
        <v>215</v>
      </c>
      <c r="B49" t="s">
        <v>549</v>
      </c>
      <c r="C49" t="s">
        <v>604</v>
      </c>
      <c r="D49" t="s">
        <v>549</v>
      </c>
      <c r="E49" t="s">
        <v>605</v>
      </c>
      <c r="F49" t="s">
        <v>549</v>
      </c>
      <c r="G49" t="s">
        <v>606</v>
      </c>
      <c r="H49" t="s">
        <v>607</v>
      </c>
      <c r="I49" t="s">
        <v>608</v>
      </c>
      <c r="J49" t="s">
        <v>609</v>
      </c>
      <c r="K49" t="s">
        <v>610</v>
      </c>
    </row>
    <row r="50" spans="1:11" x14ac:dyDescent="0.35">
      <c r="A50" t="s">
        <v>216</v>
      </c>
      <c r="B50" t="s">
        <v>549</v>
      </c>
      <c r="C50" t="s">
        <v>604</v>
      </c>
      <c r="D50" t="s">
        <v>549</v>
      </c>
      <c r="E50" t="s">
        <v>605</v>
      </c>
      <c r="F50" t="s">
        <v>549</v>
      </c>
      <c r="G50" t="s">
        <v>606</v>
      </c>
      <c r="H50" t="s">
        <v>607</v>
      </c>
      <c r="I50" t="s">
        <v>608</v>
      </c>
      <c r="J50" t="s">
        <v>609</v>
      </c>
      <c r="K50" t="s">
        <v>610</v>
      </c>
    </row>
    <row r="51" spans="1:11" x14ac:dyDescent="0.35">
      <c r="A51" t="s">
        <v>219</v>
      </c>
      <c r="B51" t="s">
        <v>549</v>
      </c>
      <c r="C51" t="s">
        <v>611</v>
      </c>
      <c r="D51" t="s">
        <v>549</v>
      </c>
      <c r="E51" t="s">
        <v>612</v>
      </c>
      <c r="F51" t="s">
        <v>549</v>
      </c>
      <c r="G51" t="s">
        <v>613</v>
      </c>
      <c r="H51" t="s">
        <v>614</v>
      </c>
      <c r="I51" t="s">
        <v>615</v>
      </c>
      <c r="J51" t="s">
        <v>616</v>
      </c>
      <c r="K51" t="s">
        <v>617</v>
      </c>
    </row>
    <row r="52" spans="1:11" x14ac:dyDescent="0.35">
      <c r="A52" t="s">
        <v>220</v>
      </c>
      <c r="B52" t="s">
        <v>549</v>
      </c>
      <c r="C52" t="s">
        <v>611</v>
      </c>
      <c r="D52" t="s">
        <v>549</v>
      </c>
      <c r="E52" t="s">
        <v>612</v>
      </c>
      <c r="F52" t="s">
        <v>549</v>
      </c>
      <c r="G52" t="s">
        <v>613</v>
      </c>
      <c r="H52" t="s">
        <v>614</v>
      </c>
      <c r="I52" t="s">
        <v>615</v>
      </c>
      <c r="J52" t="s">
        <v>616</v>
      </c>
      <c r="K52" t="s">
        <v>617</v>
      </c>
    </row>
    <row r="53" spans="1:11" x14ac:dyDescent="0.35">
      <c r="A53" t="s">
        <v>223</v>
      </c>
      <c r="B53" t="s">
        <v>549</v>
      </c>
      <c r="C53" t="s">
        <v>549</v>
      </c>
      <c r="D53" t="s">
        <v>549</v>
      </c>
      <c r="E53" t="s">
        <v>618</v>
      </c>
      <c r="F53" t="s">
        <v>549</v>
      </c>
      <c r="G53" t="s">
        <v>619</v>
      </c>
      <c r="H53" t="s">
        <v>620</v>
      </c>
      <c r="I53" t="s">
        <v>621</v>
      </c>
      <c r="J53" t="s">
        <v>622</v>
      </c>
      <c r="K53" t="s">
        <v>623</v>
      </c>
    </row>
    <row r="54" spans="1:11" x14ac:dyDescent="0.35">
      <c r="A54" t="s">
        <v>225</v>
      </c>
      <c r="B54" t="s">
        <v>549</v>
      </c>
      <c r="C54" t="s">
        <v>549</v>
      </c>
      <c r="D54" t="s">
        <v>549</v>
      </c>
      <c r="E54" t="s">
        <v>549</v>
      </c>
      <c r="F54" t="s">
        <v>549</v>
      </c>
      <c r="G54" t="s">
        <v>549</v>
      </c>
      <c r="H54" t="s">
        <v>624</v>
      </c>
      <c r="I54" t="s">
        <v>484</v>
      </c>
      <c r="J54" t="s">
        <v>622</v>
      </c>
      <c r="K54" t="s">
        <v>549</v>
      </c>
    </row>
    <row r="55" spans="1:11" x14ac:dyDescent="0.35">
      <c r="A55" t="s">
        <v>226</v>
      </c>
      <c r="B55" t="s">
        <v>549</v>
      </c>
      <c r="C55" t="s">
        <v>549</v>
      </c>
      <c r="D55" t="s">
        <v>549</v>
      </c>
      <c r="E55" t="s">
        <v>549</v>
      </c>
      <c r="F55" t="s">
        <v>549</v>
      </c>
      <c r="G55" t="s">
        <v>549</v>
      </c>
      <c r="H55" t="s">
        <v>624</v>
      </c>
      <c r="I55" t="s">
        <v>484</v>
      </c>
      <c r="J55" t="s">
        <v>622</v>
      </c>
      <c r="K55" t="s">
        <v>549</v>
      </c>
    </row>
    <row r="56" spans="1:11" x14ac:dyDescent="0.35">
      <c r="A56" t="s">
        <v>227</v>
      </c>
      <c r="B56" t="s">
        <v>549</v>
      </c>
      <c r="C56" t="s">
        <v>549</v>
      </c>
      <c r="D56" t="s">
        <v>549</v>
      </c>
      <c r="E56" t="s">
        <v>625</v>
      </c>
      <c r="F56" t="s">
        <v>549</v>
      </c>
      <c r="G56" t="s">
        <v>626</v>
      </c>
      <c r="H56" t="s">
        <v>624</v>
      </c>
      <c r="I56" t="s">
        <v>627</v>
      </c>
      <c r="J56" t="s">
        <v>622</v>
      </c>
      <c r="K56" t="s">
        <v>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F07C-E477-47F1-8E72-D3B252AFF906}">
  <sheetPr codeName="Sheet5"/>
  <dimension ref="A2:DX60"/>
  <sheetViews>
    <sheetView topLeftCell="U1" workbookViewId="0">
      <selection activeCell="W7" sqref="W7"/>
    </sheetView>
  </sheetViews>
  <sheetFormatPr defaultRowHeight="14.5" x14ac:dyDescent="0.35"/>
  <cols>
    <col min="1" max="1" width="11.81640625" bestFit="1" customWidth="1"/>
    <col min="2" max="2" width="9.81640625" bestFit="1" customWidth="1"/>
    <col min="3" max="3" width="63.54296875" bestFit="1" customWidth="1"/>
    <col min="4" max="4" width="30.90625" bestFit="1" customWidth="1"/>
    <col min="5" max="5" width="21.90625" bestFit="1" customWidth="1"/>
    <col min="6" max="6" width="26" bestFit="1" customWidth="1"/>
    <col min="7" max="7" width="24.36328125" bestFit="1" customWidth="1"/>
    <col min="8" max="8" width="35.36328125" bestFit="1" customWidth="1"/>
    <col min="9" max="9" width="28.453125" bestFit="1" customWidth="1"/>
    <col min="10" max="10" width="26.90625" bestFit="1" customWidth="1"/>
    <col min="11" max="11" width="36.36328125" bestFit="1" customWidth="1"/>
    <col min="12" max="12" width="36.6328125" bestFit="1" customWidth="1"/>
    <col min="13" max="13" width="35.08984375" bestFit="1" customWidth="1"/>
    <col min="14" max="14" width="45.81640625" bestFit="1" customWidth="1"/>
    <col min="15" max="15" width="27.81640625" bestFit="1" customWidth="1"/>
    <col min="16" max="16" width="26.26953125" bestFit="1" customWidth="1"/>
    <col min="17" max="18" width="36.90625" bestFit="1" customWidth="1"/>
    <col min="19" max="19" width="28.08984375" bestFit="1" customWidth="1"/>
    <col min="20" max="20" width="23.453125" bestFit="1" customWidth="1"/>
    <col min="21" max="21" width="36.7265625" bestFit="1" customWidth="1"/>
    <col min="22" max="22" width="35.1796875" bestFit="1" customWidth="1"/>
    <col min="23" max="23" width="19.54296875" bestFit="1" customWidth="1"/>
    <col min="24" max="24" width="17.90625" bestFit="1" customWidth="1"/>
    <col min="25" max="25" width="30.26953125" bestFit="1" customWidth="1"/>
    <col min="26" max="26" width="28.6328125" bestFit="1" customWidth="1"/>
    <col min="27" max="27" width="29.54296875" bestFit="1" customWidth="1"/>
    <col min="28" max="28" width="27.90625" bestFit="1" customWidth="1"/>
    <col min="29" max="29" width="33.1796875" bestFit="1" customWidth="1"/>
    <col min="30" max="30" width="31.6328125" bestFit="1" customWidth="1"/>
    <col min="31" max="31" width="17.36328125" bestFit="1" customWidth="1"/>
    <col min="32" max="32" width="15.7265625" bestFit="1" customWidth="1"/>
    <col min="33" max="33" width="17.08984375" bestFit="1" customWidth="1"/>
    <col min="34" max="34" width="15.453125" bestFit="1" customWidth="1"/>
    <col min="35" max="35" width="40.90625" bestFit="1" customWidth="1"/>
    <col min="36" max="36" width="39.36328125" bestFit="1" customWidth="1"/>
    <col min="37" max="37" width="40.1796875" bestFit="1" customWidth="1"/>
    <col min="38" max="38" width="38.6328125" bestFit="1" customWidth="1"/>
    <col min="39" max="39" width="43.90625" bestFit="1" customWidth="1"/>
    <col min="40" max="40" width="42.36328125" bestFit="1" customWidth="1"/>
    <col min="41" max="41" width="28" bestFit="1" customWidth="1"/>
    <col min="42" max="42" width="26.453125" bestFit="1" customWidth="1"/>
    <col min="43" max="43" width="27.7265625" bestFit="1" customWidth="1"/>
    <col min="44" max="44" width="26.1796875" bestFit="1" customWidth="1"/>
    <col min="45" max="45" width="23.81640625" bestFit="1" customWidth="1"/>
    <col min="46" max="46" width="22.26953125" bestFit="1" customWidth="1"/>
    <col min="47" max="47" width="35" bestFit="1" customWidth="1"/>
    <col min="48" max="48" width="33.453125" bestFit="1" customWidth="1"/>
    <col min="49" max="49" width="45.7265625" bestFit="1" customWidth="1"/>
    <col min="50" max="50" width="44.08984375" bestFit="1" customWidth="1"/>
    <col min="51" max="51" width="31.81640625" bestFit="1" customWidth="1"/>
    <col min="52" max="52" width="30.26953125" bestFit="1" customWidth="1"/>
    <col min="53" max="53" width="42.54296875" bestFit="1" customWidth="1"/>
    <col min="54" max="54" width="40.90625" bestFit="1" customWidth="1"/>
    <col min="55" max="55" width="43.81640625" bestFit="1" customWidth="1"/>
    <col min="56" max="56" width="42.26953125" bestFit="1" customWidth="1"/>
    <col min="57" max="57" width="35.81640625" bestFit="1" customWidth="1"/>
    <col min="58" max="58" width="34.26953125" bestFit="1" customWidth="1"/>
    <col min="59" max="59" width="46.54296875" bestFit="1" customWidth="1"/>
    <col min="60" max="60" width="44.90625" bestFit="1" customWidth="1"/>
    <col min="61" max="61" width="38.6328125" bestFit="1" customWidth="1"/>
    <col min="62" max="62" width="37" bestFit="1" customWidth="1"/>
    <col min="63" max="63" width="48.1796875" bestFit="1" customWidth="1"/>
    <col min="64" max="64" width="32.81640625" bestFit="1" customWidth="1"/>
    <col min="65" max="65" width="31.26953125" bestFit="1" customWidth="1"/>
    <col min="66" max="66" width="43.54296875" bestFit="1" customWidth="1"/>
    <col min="67" max="67" width="42" bestFit="1" customWidth="1"/>
    <col min="68" max="68" width="32.08984375" bestFit="1" customWidth="1"/>
    <col min="69" max="69" width="30.54296875" bestFit="1" customWidth="1"/>
    <col min="70" max="70" width="42.81640625" bestFit="1" customWidth="1"/>
    <col min="71" max="71" width="41.1796875" bestFit="1" customWidth="1"/>
    <col min="72" max="72" width="27" bestFit="1" customWidth="1"/>
    <col min="73" max="73" width="25.453125" bestFit="1" customWidth="1"/>
    <col min="74" max="74" width="29.36328125" bestFit="1" customWidth="1"/>
    <col min="75" max="75" width="30.26953125" bestFit="1" customWidth="1"/>
    <col min="76" max="76" width="36.1796875" bestFit="1" customWidth="1"/>
    <col min="77" max="77" width="34.6328125" bestFit="1" customWidth="1"/>
    <col min="78" max="78" width="22.81640625" bestFit="1" customWidth="1"/>
    <col min="79" max="79" width="21.26953125" bestFit="1" customWidth="1"/>
    <col min="80" max="80" width="29.26953125" bestFit="1" customWidth="1"/>
    <col min="81" max="81" width="27.6328125" bestFit="1" customWidth="1"/>
    <col min="82" max="82" width="39.90625" bestFit="1" customWidth="1"/>
    <col min="83" max="83" width="34.54296875" bestFit="1" customWidth="1"/>
    <col min="84" max="84" width="32.90625" bestFit="1" customWidth="1"/>
    <col min="85" max="85" width="37.7265625" bestFit="1" customWidth="1"/>
    <col min="86" max="86" width="36.08984375" bestFit="1" customWidth="1"/>
    <col min="87" max="87" width="27" bestFit="1" customWidth="1"/>
    <col min="88" max="88" width="34.453125" bestFit="1" customWidth="1"/>
    <col min="89" max="89" width="32.81640625" bestFit="1" customWidth="1"/>
    <col min="90" max="90" width="33.54296875" bestFit="1" customWidth="1"/>
    <col min="91" max="91" width="31.90625" bestFit="1" customWidth="1"/>
    <col min="92" max="92" width="37.81640625" bestFit="1" customWidth="1"/>
    <col min="93" max="93" width="36.1796875" bestFit="1" customWidth="1"/>
    <col min="94" max="94" width="33.08984375" bestFit="1" customWidth="1"/>
    <col min="95" max="95" width="31.54296875" bestFit="1" customWidth="1"/>
    <col min="96" max="96" width="17.90625" bestFit="1" customWidth="1"/>
    <col min="97" max="97" width="16.26953125" bestFit="1" customWidth="1"/>
    <col min="98" max="98" width="20.81640625" bestFit="1" customWidth="1"/>
    <col min="99" max="99" width="19.26953125" bestFit="1" customWidth="1"/>
    <col min="100" max="100" width="35.54296875" bestFit="1" customWidth="1"/>
    <col min="101" max="101" width="39.453125" bestFit="1" customWidth="1"/>
    <col min="102" max="102" width="22.81640625" bestFit="1" customWidth="1"/>
    <col min="103" max="103" width="20.90625" bestFit="1" customWidth="1"/>
    <col min="104" max="104" width="39.7265625" bestFit="1" customWidth="1"/>
    <col min="105" max="105" width="26.6328125" bestFit="1" customWidth="1"/>
    <col min="106" max="106" width="38.26953125" bestFit="1" customWidth="1"/>
    <col min="107" max="107" width="42.36328125" bestFit="1" customWidth="1"/>
    <col min="108" max="108" width="26.26953125" bestFit="1" customWidth="1"/>
    <col min="109" max="109" width="24.6328125" bestFit="1" customWidth="1"/>
    <col min="110" max="110" width="27.26953125" bestFit="1" customWidth="1"/>
    <col min="111" max="111" width="25.7265625" bestFit="1" customWidth="1"/>
    <col min="112" max="112" width="21.81640625" bestFit="1" customWidth="1"/>
    <col min="113" max="113" width="19.26953125" bestFit="1" customWidth="1"/>
    <col min="114" max="114" width="17.7265625" bestFit="1" customWidth="1"/>
    <col min="115" max="115" width="35.6328125" bestFit="1" customWidth="1"/>
    <col min="116" max="116" width="28.54296875" bestFit="1" customWidth="1"/>
    <col min="117" max="117" width="27" bestFit="1" customWidth="1"/>
    <col min="118" max="118" width="29.54296875" bestFit="1" customWidth="1"/>
    <col min="119" max="119" width="27.90625" bestFit="1" customWidth="1"/>
    <col min="120" max="120" width="18.6328125" bestFit="1" customWidth="1"/>
    <col min="121" max="121" width="17.08984375" bestFit="1" customWidth="1"/>
    <col min="122" max="122" width="28.7265625" bestFit="1" customWidth="1"/>
    <col min="123" max="123" width="27.1796875" bestFit="1" customWidth="1"/>
    <col min="124" max="124" width="29.54296875" bestFit="1" customWidth="1"/>
    <col min="125" max="125" width="27.90625" bestFit="1" customWidth="1"/>
    <col min="126" max="126" width="20.1796875" bestFit="1" customWidth="1"/>
    <col min="127" max="127" width="18.6328125" bestFit="1" customWidth="1"/>
    <col min="128" max="128" width="22.7265625" bestFit="1" customWidth="1"/>
  </cols>
  <sheetData>
    <row r="2" spans="1:128" x14ac:dyDescent="0.35">
      <c r="A2" t="s">
        <v>245</v>
      </c>
      <c r="B2" t="s">
        <v>477</v>
      </c>
      <c r="D2" t="s">
        <v>246</v>
      </c>
    </row>
    <row r="3" spans="1:128" x14ac:dyDescent="0.35">
      <c r="A3" t="s">
        <v>247</v>
      </c>
      <c r="B3" t="s">
        <v>478</v>
      </c>
    </row>
    <row r="4" spans="1:128" x14ac:dyDescent="0.35">
      <c r="E4" t="s">
        <v>248</v>
      </c>
      <c r="F4" t="s">
        <v>249</v>
      </c>
      <c r="G4" t="s">
        <v>249</v>
      </c>
      <c r="H4" t="s">
        <v>250</v>
      </c>
      <c r="I4" t="s">
        <v>251</v>
      </c>
      <c r="J4" t="s">
        <v>251</v>
      </c>
      <c r="K4" t="s">
        <v>252</v>
      </c>
      <c r="L4" t="s">
        <v>253</v>
      </c>
      <c r="M4" t="s">
        <v>253</v>
      </c>
      <c r="N4" t="s">
        <v>254</v>
      </c>
      <c r="O4" t="s">
        <v>255</v>
      </c>
      <c r="P4" t="s">
        <v>255</v>
      </c>
      <c r="Q4" t="s">
        <v>256</v>
      </c>
      <c r="R4" t="s">
        <v>257</v>
      </c>
      <c r="S4" t="s">
        <v>258</v>
      </c>
      <c r="T4" t="s">
        <v>259</v>
      </c>
      <c r="U4" t="s">
        <v>260</v>
      </c>
      <c r="V4" t="s">
        <v>260</v>
      </c>
      <c r="W4" t="s">
        <v>2</v>
      </c>
      <c r="X4" t="s">
        <v>2</v>
      </c>
      <c r="Y4" t="s">
        <v>4</v>
      </c>
      <c r="Z4" t="s">
        <v>4</v>
      </c>
      <c r="AA4" t="s">
        <v>6</v>
      </c>
      <c r="AB4" t="s">
        <v>6</v>
      </c>
      <c r="AC4" t="s">
        <v>8</v>
      </c>
      <c r="AD4" t="s">
        <v>8</v>
      </c>
      <c r="AE4" t="s">
        <v>10</v>
      </c>
      <c r="AF4" t="s">
        <v>10</v>
      </c>
      <c r="AG4" t="s">
        <v>12</v>
      </c>
      <c r="AH4" t="s">
        <v>12</v>
      </c>
      <c r="AI4" t="s">
        <v>261</v>
      </c>
      <c r="AJ4" t="s">
        <v>261</v>
      </c>
      <c r="AK4" t="s">
        <v>262</v>
      </c>
      <c r="AL4" t="s">
        <v>262</v>
      </c>
      <c r="AM4" t="s">
        <v>263</v>
      </c>
      <c r="AN4" t="s">
        <v>263</v>
      </c>
      <c r="AO4" t="s">
        <v>264</v>
      </c>
      <c r="AP4" t="s">
        <v>264</v>
      </c>
      <c r="AQ4" t="s">
        <v>265</v>
      </c>
      <c r="AR4" t="s">
        <v>265</v>
      </c>
      <c r="AS4" t="s">
        <v>14</v>
      </c>
      <c r="AT4" t="s">
        <v>14</v>
      </c>
      <c r="AU4" t="s">
        <v>16</v>
      </c>
      <c r="AV4" t="s">
        <v>16</v>
      </c>
      <c r="AW4" t="s">
        <v>266</v>
      </c>
      <c r="AX4" t="s">
        <v>266</v>
      </c>
      <c r="AY4" t="s">
        <v>267</v>
      </c>
      <c r="AZ4" t="s">
        <v>267</v>
      </c>
      <c r="BA4" t="s">
        <v>268</v>
      </c>
      <c r="BB4" t="s">
        <v>268</v>
      </c>
      <c r="BC4" t="s">
        <v>269</v>
      </c>
      <c r="BD4" t="s">
        <v>269</v>
      </c>
      <c r="BE4" t="s">
        <v>270</v>
      </c>
      <c r="BF4" t="s">
        <v>270</v>
      </c>
      <c r="BG4" t="s">
        <v>18</v>
      </c>
      <c r="BH4" t="s">
        <v>18</v>
      </c>
      <c r="BI4" t="s">
        <v>271</v>
      </c>
      <c r="BJ4" t="s">
        <v>271</v>
      </c>
      <c r="BK4" t="s">
        <v>272</v>
      </c>
      <c r="BL4" t="s">
        <v>273</v>
      </c>
      <c r="BM4" t="s">
        <v>273</v>
      </c>
      <c r="BN4" t="s">
        <v>20</v>
      </c>
      <c r="BO4" t="s">
        <v>20</v>
      </c>
      <c r="BP4" t="s">
        <v>274</v>
      </c>
      <c r="BQ4" t="s">
        <v>274</v>
      </c>
      <c r="BR4" t="s">
        <v>22</v>
      </c>
      <c r="BS4" t="s">
        <v>22</v>
      </c>
      <c r="BT4" t="s">
        <v>275</v>
      </c>
      <c r="BU4" t="s">
        <v>275</v>
      </c>
      <c r="BV4" t="s">
        <v>24</v>
      </c>
      <c r="BW4" t="s">
        <v>26</v>
      </c>
      <c r="BX4" t="s">
        <v>28</v>
      </c>
      <c r="BY4" t="s">
        <v>28</v>
      </c>
      <c r="BZ4" t="s">
        <v>30</v>
      </c>
      <c r="CA4" t="s">
        <v>30</v>
      </c>
      <c r="CB4" t="s">
        <v>276</v>
      </c>
      <c r="CC4" t="s">
        <v>276</v>
      </c>
      <c r="CD4" t="s">
        <v>32</v>
      </c>
      <c r="CE4" t="s">
        <v>34</v>
      </c>
      <c r="CF4" t="s">
        <v>34</v>
      </c>
      <c r="CG4" t="s">
        <v>277</v>
      </c>
      <c r="CH4" t="s">
        <v>277</v>
      </c>
      <c r="CI4" t="s">
        <v>278</v>
      </c>
      <c r="CJ4" t="s">
        <v>279</v>
      </c>
      <c r="CK4" t="s">
        <v>279</v>
      </c>
      <c r="CL4" t="s">
        <v>36</v>
      </c>
      <c r="CM4" t="s">
        <v>36</v>
      </c>
      <c r="CN4" t="s">
        <v>280</v>
      </c>
      <c r="CO4" t="s">
        <v>280</v>
      </c>
      <c r="CP4" t="s">
        <v>281</v>
      </c>
      <c r="CQ4" t="s">
        <v>281</v>
      </c>
      <c r="CR4" t="s">
        <v>282</v>
      </c>
      <c r="CS4" t="s">
        <v>282</v>
      </c>
      <c r="CT4" t="s">
        <v>283</v>
      </c>
      <c r="CU4" t="s">
        <v>283</v>
      </c>
      <c r="CV4" t="s">
        <v>284</v>
      </c>
      <c r="CW4" t="s">
        <v>285</v>
      </c>
      <c r="CX4" t="s">
        <v>286</v>
      </c>
      <c r="CY4" t="s">
        <v>38</v>
      </c>
      <c r="CZ4" t="s">
        <v>40</v>
      </c>
      <c r="DA4" t="s">
        <v>42</v>
      </c>
      <c r="DB4" t="s">
        <v>44</v>
      </c>
      <c r="DC4" t="s">
        <v>46</v>
      </c>
      <c r="DD4" t="s">
        <v>48</v>
      </c>
      <c r="DE4" t="s">
        <v>48</v>
      </c>
      <c r="DF4" t="s">
        <v>287</v>
      </c>
      <c r="DG4" t="s">
        <v>287</v>
      </c>
      <c r="DH4" t="s">
        <v>288</v>
      </c>
      <c r="DI4" t="s">
        <v>50</v>
      </c>
      <c r="DJ4" t="s">
        <v>50</v>
      </c>
      <c r="DK4" t="s">
        <v>289</v>
      </c>
      <c r="DL4" t="s">
        <v>290</v>
      </c>
      <c r="DM4" t="s">
        <v>290</v>
      </c>
      <c r="DN4" t="s">
        <v>291</v>
      </c>
      <c r="DO4" t="s">
        <v>291</v>
      </c>
      <c r="DP4" t="s">
        <v>292</v>
      </c>
      <c r="DQ4" t="s">
        <v>292</v>
      </c>
      <c r="DR4" t="s">
        <v>293</v>
      </c>
      <c r="DS4" t="s">
        <v>293</v>
      </c>
      <c r="DT4" t="s">
        <v>294</v>
      </c>
      <c r="DU4" t="s">
        <v>294</v>
      </c>
      <c r="DV4" t="s">
        <v>295</v>
      </c>
      <c r="DW4" t="s">
        <v>295</v>
      </c>
      <c r="DX4" t="s">
        <v>296</v>
      </c>
    </row>
    <row r="5" spans="1:128" x14ac:dyDescent="0.35">
      <c r="A5" t="s">
        <v>53</v>
      </c>
      <c r="B5" t="s">
        <v>297</v>
      </c>
      <c r="C5" t="s">
        <v>298</v>
      </c>
      <c r="D5" t="s">
        <v>299</v>
      </c>
      <c r="E5" t="s">
        <v>300</v>
      </c>
      <c r="F5" t="s">
        <v>301</v>
      </c>
      <c r="G5" t="s">
        <v>302</v>
      </c>
      <c r="H5" t="s">
        <v>303</v>
      </c>
      <c r="I5" t="s">
        <v>304</v>
      </c>
      <c r="J5" t="s">
        <v>305</v>
      </c>
      <c r="K5" t="s">
        <v>306</v>
      </c>
      <c r="L5" t="s">
        <v>307</v>
      </c>
      <c r="M5" t="s">
        <v>308</v>
      </c>
      <c r="N5" t="s">
        <v>309</v>
      </c>
      <c r="O5" t="s">
        <v>310</v>
      </c>
      <c r="P5" t="s">
        <v>311</v>
      </c>
      <c r="Q5" t="s">
        <v>312</v>
      </c>
      <c r="R5" t="s">
        <v>312</v>
      </c>
      <c r="S5" t="s">
        <v>313</v>
      </c>
      <c r="T5" t="s">
        <v>314</v>
      </c>
      <c r="U5" t="s">
        <v>315</v>
      </c>
      <c r="V5" t="s">
        <v>316</v>
      </c>
      <c r="W5" t="s">
        <v>317</v>
      </c>
      <c r="X5" t="s">
        <v>318</v>
      </c>
      <c r="Y5" t="s">
        <v>319</v>
      </c>
      <c r="Z5" t="s">
        <v>320</v>
      </c>
      <c r="AA5" t="s">
        <v>321</v>
      </c>
      <c r="AB5" t="s">
        <v>322</v>
      </c>
      <c r="AC5" t="s">
        <v>323</v>
      </c>
      <c r="AD5" t="s">
        <v>324</v>
      </c>
      <c r="AE5" t="s">
        <v>325</v>
      </c>
      <c r="AF5" t="s">
        <v>326</v>
      </c>
      <c r="AG5" t="s">
        <v>327</v>
      </c>
      <c r="AH5" t="s">
        <v>328</v>
      </c>
      <c r="AI5" t="s">
        <v>329</v>
      </c>
      <c r="AJ5" t="s">
        <v>330</v>
      </c>
      <c r="AK5" t="s">
        <v>331</v>
      </c>
      <c r="AL5" t="s">
        <v>332</v>
      </c>
      <c r="AM5" t="s">
        <v>333</v>
      </c>
      <c r="AN5" t="s">
        <v>334</v>
      </c>
      <c r="AO5" t="s">
        <v>335</v>
      </c>
      <c r="AP5" t="s">
        <v>336</v>
      </c>
      <c r="AQ5" t="s">
        <v>337</v>
      </c>
      <c r="AR5" t="s">
        <v>338</v>
      </c>
      <c r="AS5" t="s">
        <v>339</v>
      </c>
      <c r="AT5" t="s">
        <v>340</v>
      </c>
      <c r="AU5" t="s">
        <v>341</v>
      </c>
      <c r="AV5" t="s">
        <v>342</v>
      </c>
      <c r="AW5" t="s">
        <v>343</v>
      </c>
      <c r="AX5" t="s">
        <v>344</v>
      </c>
      <c r="AY5" t="s">
        <v>345</v>
      </c>
      <c r="AZ5" t="s">
        <v>346</v>
      </c>
      <c r="BA5" t="s">
        <v>347</v>
      </c>
      <c r="BB5" t="s">
        <v>348</v>
      </c>
      <c r="BC5" t="s">
        <v>349</v>
      </c>
      <c r="BD5" t="s">
        <v>350</v>
      </c>
      <c r="BE5" t="s">
        <v>351</v>
      </c>
      <c r="BF5" t="s">
        <v>352</v>
      </c>
      <c r="BG5" t="s">
        <v>353</v>
      </c>
      <c r="BH5" t="s">
        <v>354</v>
      </c>
      <c r="BI5" t="s">
        <v>355</v>
      </c>
      <c r="BJ5" t="s">
        <v>356</v>
      </c>
      <c r="BK5" t="s">
        <v>357</v>
      </c>
      <c r="BL5" t="s">
        <v>358</v>
      </c>
      <c r="BM5" t="s">
        <v>359</v>
      </c>
      <c r="BN5" t="s">
        <v>360</v>
      </c>
      <c r="BO5" t="s">
        <v>361</v>
      </c>
      <c r="BP5" t="s">
        <v>362</v>
      </c>
      <c r="BQ5" t="s">
        <v>363</v>
      </c>
      <c r="BR5" t="s">
        <v>364</v>
      </c>
      <c r="BS5" t="s">
        <v>365</v>
      </c>
      <c r="BT5" t="s">
        <v>366</v>
      </c>
      <c r="BU5" t="s">
        <v>367</v>
      </c>
      <c r="BV5" t="s">
        <v>368</v>
      </c>
      <c r="BW5" t="s">
        <v>369</v>
      </c>
      <c r="BX5" t="s">
        <v>370</v>
      </c>
      <c r="BY5" t="s">
        <v>371</v>
      </c>
      <c r="BZ5" t="s">
        <v>372</v>
      </c>
      <c r="CA5" t="s">
        <v>373</v>
      </c>
      <c r="CB5" t="s">
        <v>374</v>
      </c>
      <c r="CC5" t="s">
        <v>375</v>
      </c>
      <c r="CD5" t="s">
        <v>376</v>
      </c>
      <c r="CE5" t="s">
        <v>377</v>
      </c>
      <c r="CF5" t="s">
        <v>378</v>
      </c>
      <c r="CG5" t="s">
        <v>379</v>
      </c>
      <c r="CH5" t="s">
        <v>380</v>
      </c>
      <c r="CI5" t="s">
        <v>381</v>
      </c>
      <c r="CJ5" t="s">
        <v>382</v>
      </c>
      <c r="CK5" t="s">
        <v>383</v>
      </c>
      <c r="CL5" t="s">
        <v>384</v>
      </c>
      <c r="CM5" t="s">
        <v>385</v>
      </c>
      <c r="CN5" t="s">
        <v>386</v>
      </c>
      <c r="CO5" t="s">
        <v>387</v>
      </c>
      <c r="CP5" t="s">
        <v>388</v>
      </c>
      <c r="CQ5" t="s">
        <v>389</v>
      </c>
      <c r="CR5" t="s">
        <v>390</v>
      </c>
      <c r="CS5" t="s">
        <v>391</v>
      </c>
      <c r="CT5" t="s">
        <v>392</v>
      </c>
      <c r="CU5" t="s">
        <v>393</v>
      </c>
      <c r="CV5" t="s">
        <v>394</v>
      </c>
      <c r="CW5" t="s">
        <v>395</v>
      </c>
      <c r="CX5" t="s">
        <v>396</v>
      </c>
      <c r="CY5" t="s">
        <v>397</v>
      </c>
      <c r="CZ5" t="s">
        <v>398</v>
      </c>
      <c r="DA5" t="s">
        <v>399</v>
      </c>
      <c r="DB5" t="s">
        <v>400</v>
      </c>
      <c r="DC5" t="s">
        <v>401</v>
      </c>
      <c r="DD5" t="s">
        <v>402</v>
      </c>
      <c r="DE5" t="s">
        <v>403</v>
      </c>
      <c r="DF5" t="s">
        <v>404</v>
      </c>
      <c r="DG5" t="s">
        <v>405</v>
      </c>
      <c r="DH5" t="s">
        <v>406</v>
      </c>
      <c r="DI5" t="s">
        <v>407</v>
      </c>
      <c r="DJ5" t="s">
        <v>408</v>
      </c>
      <c r="DK5" t="s">
        <v>409</v>
      </c>
      <c r="DL5" t="s">
        <v>410</v>
      </c>
      <c r="DM5" t="s">
        <v>411</v>
      </c>
      <c r="DN5" t="s">
        <v>412</v>
      </c>
      <c r="DO5" t="s">
        <v>413</v>
      </c>
      <c r="DP5" t="s">
        <v>414</v>
      </c>
      <c r="DQ5" t="s">
        <v>415</v>
      </c>
      <c r="DR5" t="s">
        <v>416</v>
      </c>
      <c r="DS5" t="s">
        <v>417</v>
      </c>
      <c r="DT5" t="s">
        <v>412</v>
      </c>
      <c r="DU5" t="s">
        <v>413</v>
      </c>
      <c r="DV5" t="s">
        <v>418</v>
      </c>
      <c r="DW5" t="s">
        <v>419</v>
      </c>
      <c r="DX5" t="s">
        <v>420</v>
      </c>
    </row>
    <row r="6" spans="1:128" x14ac:dyDescent="0.35">
      <c r="A6" t="s">
        <v>115</v>
      </c>
      <c r="B6">
        <v>663020014</v>
      </c>
      <c r="C6" t="s">
        <v>421</v>
      </c>
      <c r="D6" t="s">
        <v>477</v>
      </c>
      <c r="E6" t="s">
        <v>466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-49051.28</v>
      </c>
      <c r="M6">
        <v>-40</v>
      </c>
      <c r="N6">
        <v>250</v>
      </c>
      <c r="O6">
        <v>15598314</v>
      </c>
      <c r="P6">
        <v>4500</v>
      </c>
      <c r="Q6">
        <v>62000</v>
      </c>
      <c r="R6">
        <v>0</v>
      </c>
      <c r="S6">
        <v>-250</v>
      </c>
      <c r="T6">
        <v>-4.03225806452E-3</v>
      </c>
      <c r="U6">
        <v>0</v>
      </c>
      <c r="V6">
        <v>0</v>
      </c>
      <c r="W6">
        <v>15598314</v>
      </c>
      <c r="X6">
        <v>4500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15598314</v>
      </c>
      <c r="AT6">
        <v>4500</v>
      </c>
      <c r="AU6">
        <v>0</v>
      </c>
      <c r="AV6">
        <v>0</v>
      </c>
      <c r="AW6">
        <v>0</v>
      </c>
      <c r="AX6">
        <v>0</v>
      </c>
      <c r="AY6">
        <v>15598314</v>
      </c>
      <c r="AZ6">
        <v>4500</v>
      </c>
      <c r="BA6">
        <v>206323229</v>
      </c>
      <c r="BB6">
        <v>62000</v>
      </c>
      <c r="BC6">
        <v>0</v>
      </c>
      <c r="BD6">
        <v>0</v>
      </c>
      <c r="BE6">
        <v>-138651.68</v>
      </c>
      <c r="BF6">
        <v>-40</v>
      </c>
      <c r="BG6">
        <v>796021.26</v>
      </c>
      <c r="BH6">
        <v>250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-138651.68</v>
      </c>
      <c r="BU6">
        <v>-40</v>
      </c>
      <c r="BV6">
        <v>3466.2919999999999</v>
      </c>
      <c r="BW6">
        <v>4.03225806452E-3</v>
      </c>
      <c r="BX6">
        <v>62896.427419354841</v>
      </c>
      <c r="BY6">
        <v>18.14516129032258</v>
      </c>
      <c r="BZ6">
        <v>15535417.572580639</v>
      </c>
      <c r="CA6">
        <v>4481.8548387096771</v>
      </c>
      <c r="CB6">
        <v>0</v>
      </c>
      <c r="CC6">
        <v>0</v>
      </c>
      <c r="CD6">
        <v>0</v>
      </c>
      <c r="CE6">
        <v>206323229</v>
      </c>
      <c r="CF6">
        <v>62000</v>
      </c>
      <c r="CG6">
        <v>796021.26</v>
      </c>
      <c r="CH6">
        <v>250</v>
      </c>
      <c r="CI6">
        <v>3335.7612622950819</v>
      </c>
      <c r="CJ6">
        <v>833940.31557377044</v>
      </c>
      <c r="CK6">
        <v>250</v>
      </c>
      <c r="CL6">
        <v>205489288.68442619</v>
      </c>
      <c r="CM6">
        <v>61750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310708.35145161289</v>
      </c>
      <c r="DD6">
        <v>15224709.22112903</v>
      </c>
      <c r="DE6">
        <v>4481.8548387096771</v>
      </c>
      <c r="DF6">
        <v>3396.9661599999999</v>
      </c>
      <c r="DG6">
        <v>4481.8549999999996</v>
      </c>
      <c r="DH6">
        <v>3466.2919999999999</v>
      </c>
      <c r="DI6">
        <v>3396.9661599999999</v>
      </c>
      <c r="DJ6">
        <v>4481.8549999999996</v>
      </c>
      <c r="DK6">
        <v>0</v>
      </c>
      <c r="DL6">
        <v>15224709.22112903</v>
      </c>
      <c r="DM6">
        <v>4481.8548387096771</v>
      </c>
      <c r="DN6">
        <v>3396.9661599999999</v>
      </c>
      <c r="DO6">
        <v>13935.948457222999</v>
      </c>
      <c r="DP6">
        <v>47339945.316690743</v>
      </c>
      <c r="DQ6">
        <v>13935.948457222999</v>
      </c>
      <c r="DR6">
        <v>3396.9661599999999</v>
      </c>
      <c r="DS6">
        <v>13935.948457222999</v>
      </c>
      <c r="DT6">
        <v>3396.9661599999999</v>
      </c>
      <c r="DU6">
        <v>13935.948457222999</v>
      </c>
      <c r="DV6">
        <v>3396.9661599999999</v>
      </c>
      <c r="DW6">
        <v>13935.948</v>
      </c>
      <c r="DX6">
        <v>3466.2919999999999</v>
      </c>
    </row>
    <row r="7" spans="1:128" x14ac:dyDescent="0.35">
      <c r="A7" t="s">
        <v>121</v>
      </c>
      <c r="B7">
        <v>663020101</v>
      </c>
      <c r="C7" t="s">
        <v>422</v>
      </c>
      <c r="D7" t="s">
        <v>477</v>
      </c>
      <c r="E7" t="s">
        <v>466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82414.34</v>
      </c>
      <c r="M7">
        <v>1840</v>
      </c>
      <c r="N7">
        <v>25940</v>
      </c>
      <c r="O7">
        <v>3208766.4</v>
      </c>
      <c r="P7">
        <v>50400</v>
      </c>
      <c r="Q7">
        <v>762101.55</v>
      </c>
      <c r="R7">
        <v>0</v>
      </c>
      <c r="S7">
        <v>-25940</v>
      </c>
      <c r="T7">
        <v>-3.4037458656259997E-2</v>
      </c>
      <c r="U7">
        <v>0</v>
      </c>
      <c r="V7">
        <v>0</v>
      </c>
      <c r="W7">
        <v>3208766.4</v>
      </c>
      <c r="X7">
        <v>60600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10200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140400</v>
      </c>
      <c r="AQ7">
        <v>163367.66949999999</v>
      </c>
      <c r="AR7">
        <v>51317</v>
      </c>
      <c r="AS7">
        <v>3208766.4</v>
      </c>
      <c r="AT7">
        <v>50400</v>
      </c>
      <c r="AU7">
        <v>0</v>
      </c>
      <c r="AV7">
        <v>0</v>
      </c>
      <c r="AW7">
        <v>0</v>
      </c>
      <c r="AX7">
        <v>0</v>
      </c>
      <c r="AY7">
        <v>3208766.4</v>
      </c>
      <c r="AZ7">
        <v>50400</v>
      </c>
      <c r="BA7">
        <v>48554077.718999997</v>
      </c>
      <c r="BB7">
        <v>772815.55</v>
      </c>
      <c r="BC7">
        <v>0</v>
      </c>
      <c r="BD7">
        <v>0</v>
      </c>
      <c r="BE7">
        <v>105685.56</v>
      </c>
      <c r="BF7">
        <v>1660</v>
      </c>
      <c r="BG7">
        <v>1561090.32</v>
      </c>
      <c r="BH7">
        <v>24520</v>
      </c>
      <c r="BI7">
        <v>11459.88</v>
      </c>
      <c r="BJ7">
        <v>180</v>
      </c>
      <c r="BK7">
        <v>1420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117145.44</v>
      </c>
      <c r="BU7">
        <v>1840</v>
      </c>
      <c r="BV7">
        <v>63.665999999999997</v>
      </c>
      <c r="BW7">
        <v>3.3565577193680002E-2</v>
      </c>
      <c r="BX7">
        <v>107704.0962956814</v>
      </c>
      <c r="BY7">
        <v>1691.7050905613889</v>
      </c>
      <c r="BZ7">
        <v>3101062.3037043191</v>
      </c>
      <c r="CA7">
        <v>48708.294909438613</v>
      </c>
      <c r="CB7">
        <v>0</v>
      </c>
      <c r="CC7">
        <v>0</v>
      </c>
      <c r="CD7">
        <v>0</v>
      </c>
      <c r="CE7">
        <v>48554077.718999997</v>
      </c>
      <c r="CF7">
        <v>772815.55</v>
      </c>
      <c r="CG7">
        <v>1651496.04</v>
      </c>
      <c r="CH7">
        <v>25940</v>
      </c>
      <c r="CI7">
        <v>63.665999999999997</v>
      </c>
      <c r="CJ7">
        <v>1651496.04</v>
      </c>
      <c r="CK7">
        <v>25940</v>
      </c>
      <c r="CL7">
        <v>46902581.678999998</v>
      </c>
      <c r="CM7">
        <v>746875.55</v>
      </c>
      <c r="CN7">
        <v>0</v>
      </c>
      <c r="CO7">
        <v>0</v>
      </c>
      <c r="CP7">
        <v>0</v>
      </c>
      <c r="CQ7">
        <v>0</v>
      </c>
      <c r="CR7">
        <v>220539.024</v>
      </c>
      <c r="CS7">
        <v>43300</v>
      </c>
      <c r="CT7">
        <v>88623.072</v>
      </c>
      <c r="CU7">
        <v>17400</v>
      </c>
      <c r="CV7">
        <v>841027.86</v>
      </c>
      <c r="CW7">
        <v>2720626.8287999998</v>
      </c>
      <c r="CX7">
        <v>0.99816256285215998</v>
      </c>
      <c r="CY7">
        <v>3555110.3721670131</v>
      </c>
      <c r="CZ7">
        <v>3555110.3721670131</v>
      </c>
      <c r="DA7">
        <v>7.5797754513769994E-2</v>
      </c>
      <c r="DB7">
        <v>235053.55922809421</v>
      </c>
      <c r="DC7">
        <v>62021.246074086368</v>
      </c>
      <c r="DD7">
        <v>2803987.4984021378</v>
      </c>
      <c r="DE7">
        <v>48708.294909438613</v>
      </c>
      <c r="DF7">
        <v>57.566940000000002</v>
      </c>
      <c r="DG7">
        <v>48708.294999999998</v>
      </c>
      <c r="DH7">
        <v>63.665999999999997</v>
      </c>
      <c r="DI7">
        <v>57.566940000000002</v>
      </c>
      <c r="DJ7">
        <v>48708.294999999998</v>
      </c>
      <c r="DK7">
        <v>0</v>
      </c>
      <c r="DL7">
        <v>2803987.4984021378</v>
      </c>
      <c r="DM7">
        <v>48708.294909438613</v>
      </c>
      <c r="DN7">
        <v>57.081045346916582</v>
      </c>
      <c r="DO7">
        <v>194585.35443505461</v>
      </c>
      <c r="DP7">
        <v>11107135.440353179</v>
      </c>
      <c r="DQ7">
        <v>194585.35443505461</v>
      </c>
      <c r="DR7">
        <v>57.081045346916582</v>
      </c>
      <c r="DS7">
        <v>194585.35443505461</v>
      </c>
      <c r="DT7">
        <v>57.081045346916582</v>
      </c>
      <c r="DU7">
        <v>194585.35443505461</v>
      </c>
      <c r="DV7">
        <v>57.081045000000003</v>
      </c>
      <c r="DW7">
        <v>194585.35399999999</v>
      </c>
      <c r="DX7">
        <v>63.665999999999997</v>
      </c>
    </row>
    <row r="8" spans="1:128" x14ac:dyDescent="0.35">
      <c r="A8" t="s">
        <v>125</v>
      </c>
      <c r="B8">
        <v>663020102</v>
      </c>
      <c r="C8" t="s">
        <v>423</v>
      </c>
      <c r="D8" t="s">
        <v>477</v>
      </c>
      <c r="E8" t="s">
        <v>466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86048.81</v>
      </c>
      <c r="M8">
        <v>760</v>
      </c>
      <c r="N8">
        <v>16900</v>
      </c>
      <c r="O8">
        <v>4934115</v>
      </c>
      <c r="P8">
        <v>31000</v>
      </c>
      <c r="Q8">
        <v>406286.8</v>
      </c>
      <c r="R8">
        <v>0</v>
      </c>
      <c r="S8">
        <v>-16900</v>
      </c>
      <c r="T8">
        <v>-4.1596232021319998E-2</v>
      </c>
      <c r="U8">
        <v>0</v>
      </c>
      <c r="V8">
        <v>0</v>
      </c>
      <c r="W8">
        <v>4934115</v>
      </c>
      <c r="X8">
        <v>35600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4600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81200</v>
      </c>
      <c r="AQ8">
        <v>98971.906000000003</v>
      </c>
      <c r="AR8">
        <v>12436</v>
      </c>
      <c r="AS8">
        <v>4934115</v>
      </c>
      <c r="AT8">
        <v>31000</v>
      </c>
      <c r="AU8">
        <v>0</v>
      </c>
      <c r="AV8">
        <v>0</v>
      </c>
      <c r="AW8">
        <v>0</v>
      </c>
      <c r="AX8">
        <v>0</v>
      </c>
      <c r="AY8">
        <v>4934115</v>
      </c>
      <c r="AZ8">
        <v>31000</v>
      </c>
      <c r="BA8">
        <v>64676988</v>
      </c>
      <c r="BB8">
        <v>407586.8</v>
      </c>
      <c r="BC8">
        <v>0</v>
      </c>
      <c r="BD8">
        <v>0</v>
      </c>
      <c r="BE8">
        <v>85949.1</v>
      </c>
      <c r="BF8">
        <v>540</v>
      </c>
      <c r="BG8">
        <v>1995929.1</v>
      </c>
      <c r="BH8">
        <v>12540</v>
      </c>
      <c r="BI8">
        <v>35016.300000000003</v>
      </c>
      <c r="BJ8">
        <v>220</v>
      </c>
      <c r="BK8">
        <v>4360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120965.4</v>
      </c>
      <c r="BU8">
        <v>760</v>
      </c>
      <c r="BV8">
        <v>159.16499999999999</v>
      </c>
      <c r="BW8">
        <v>4.1463560645239997E-2</v>
      </c>
      <c r="BX8">
        <v>204585.97653309669</v>
      </c>
      <c r="BY8">
        <v>1285.370380002493</v>
      </c>
      <c r="BZ8">
        <v>4729529.0234669028</v>
      </c>
      <c r="CA8">
        <v>29714.629619997511</v>
      </c>
      <c r="CB8">
        <v>0</v>
      </c>
      <c r="CC8">
        <v>0</v>
      </c>
      <c r="CD8">
        <v>0</v>
      </c>
      <c r="CE8">
        <v>64676988</v>
      </c>
      <c r="CF8">
        <v>407586.8</v>
      </c>
      <c r="CG8">
        <v>2689888.5</v>
      </c>
      <c r="CH8">
        <v>16900</v>
      </c>
      <c r="CI8">
        <v>159.16499999999999</v>
      </c>
      <c r="CJ8">
        <v>2689888.5</v>
      </c>
      <c r="CK8">
        <v>16900</v>
      </c>
      <c r="CL8">
        <v>61987099.5</v>
      </c>
      <c r="CM8">
        <v>390686.8</v>
      </c>
      <c r="CN8">
        <v>0</v>
      </c>
      <c r="CO8">
        <v>0</v>
      </c>
      <c r="CP8">
        <v>0</v>
      </c>
      <c r="CQ8">
        <v>0</v>
      </c>
      <c r="CR8">
        <v>253136.17600000001</v>
      </c>
      <c r="CS8">
        <v>8019480</v>
      </c>
      <c r="CT8">
        <v>145158.48000000001</v>
      </c>
      <c r="CU8">
        <v>11400</v>
      </c>
      <c r="CV8">
        <v>1421661.78</v>
      </c>
      <c r="CW8">
        <v>3375827.7760000001</v>
      </c>
      <c r="CX8">
        <v>0.98930289204654998</v>
      </c>
      <c r="CY8">
        <v>4746170.2923139334</v>
      </c>
      <c r="CZ8">
        <v>4746170.2923139334</v>
      </c>
      <c r="DA8">
        <v>7.6567065253860006E-2</v>
      </c>
      <c r="DB8">
        <v>362126.15735980909</v>
      </c>
      <c r="DC8">
        <v>94590.580469338063</v>
      </c>
      <c r="DD8">
        <v>4272812.2856377559</v>
      </c>
      <c r="DE8">
        <v>29714.629619997511</v>
      </c>
      <c r="DF8">
        <v>143.79490300000001</v>
      </c>
      <c r="DG8">
        <v>29714.63</v>
      </c>
      <c r="DH8">
        <v>159.16499999999999</v>
      </c>
      <c r="DI8">
        <v>143.79490300000001</v>
      </c>
      <c r="DJ8">
        <v>29714.63</v>
      </c>
      <c r="DK8">
        <v>0</v>
      </c>
      <c r="DL8">
        <v>4272812.2856377559</v>
      </c>
      <c r="DM8">
        <v>29714.629619997511</v>
      </c>
      <c r="DN8">
        <v>143.99000065535489</v>
      </c>
      <c r="DO8">
        <v>96244.056403121256</v>
      </c>
      <c r="DP8">
        <v>13858181.74455945</v>
      </c>
      <c r="DQ8">
        <v>96244.056403121256</v>
      </c>
      <c r="DR8">
        <v>143.99000065535489</v>
      </c>
      <c r="DS8">
        <v>96244.056403121256</v>
      </c>
      <c r="DT8">
        <v>143.99000065535489</v>
      </c>
      <c r="DU8">
        <v>96244.056403121256</v>
      </c>
      <c r="DV8">
        <v>143.99000100000001</v>
      </c>
      <c r="DW8">
        <v>96244.055999999997</v>
      </c>
      <c r="DX8">
        <v>159.16499999999999</v>
      </c>
    </row>
    <row r="9" spans="1:128" x14ac:dyDescent="0.35">
      <c r="A9" t="s">
        <v>129</v>
      </c>
      <c r="B9">
        <v>663020105</v>
      </c>
      <c r="C9" t="s">
        <v>424</v>
      </c>
      <c r="D9" t="s">
        <v>477</v>
      </c>
      <c r="E9" t="s">
        <v>466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126995.88</v>
      </c>
      <c r="M9">
        <v>560</v>
      </c>
      <c r="N9">
        <v>15400</v>
      </c>
      <c r="O9">
        <v>8340246</v>
      </c>
      <c r="P9">
        <v>26200</v>
      </c>
      <c r="Q9">
        <v>390768.4</v>
      </c>
      <c r="R9">
        <v>0</v>
      </c>
      <c r="S9">
        <v>-15400</v>
      </c>
      <c r="T9">
        <v>-3.9409532602940001E-2</v>
      </c>
      <c r="U9">
        <v>0</v>
      </c>
      <c r="V9">
        <v>0</v>
      </c>
      <c r="W9">
        <v>8340246</v>
      </c>
      <c r="X9">
        <v>31200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5000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80500</v>
      </c>
      <c r="AQ9">
        <v>216719.06400000001</v>
      </c>
      <c r="AR9">
        <v>13616</v>
      </c>
      <c r="AS9">
        <v>8340246</v>
      </c>
      <c r="AT9">
        <v>26200</v>
      </c>
      <c r="AU9">
        <v>0</v>
      </c>
      <c r="AV9">
        <v>0</v>
      </c>
      <c r="AW9">
        <v>0</v>
      </c>
      <c r="AX9">
        <v>0</v>
      </c>
      <c r="AY9">
        <v>8340246</v>
      </c>
      <c r="AZ9">
        <v>26200</v>
      </c>
      <c r="BA9">
        <v>124484856.478</v>
      </c>
      <c r="BB9">
        <v>396520.4</v>
      </c>
      <c r="BC9">
        <v>0</v>
      </c>
      <c r="BD9">
        <v>0</v>
      </c>
      <c r="BE9">
        <v>127332</v>
      </c>
      <c r="BF9">
        <v>400</v>
      </c>
      <c r="BG9">
        <v>3711727.8</v>
      </c>
      <c r="BH9">
        <v>11660</v>
      </c>
      <c r="BI9">
        <v>50932.800000000003</v>
      </c>
      <c r="BJ9">
        <v>160</v>
      </c>
      <c r="BK9">
        <v>3740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178264.8</v>
      </c>
      <c r="BU9">
        <v>560</v>
      </c>
      <c r="BV9">
        <v>318.33</v>
      </c>
      <c r="BW9">
        <v>3.8837850461159999E-2</v>
      </c>
      <c r="BX9">
        <v>323917.22695730161</v>
      </c>
      <c r="BY9">
        <v>1017.551682082435</v>
      </c>
      <c r="BZ9">
        <v>8016328.7730426984</v>
      </c>
      <c r="CA9">
        <v>25182.44831791757</v>
      </c>
      <c r="CB9">
        <v>0</v>
      </c>
      <c r="CC9">
        <v>0</v>
      </c>
      <c r="CD9">
        <v>0</v>
      </c>
      <c r="CE9">
        <v>124484856.478</v>
      </c>
      <c r="CF9">
        <v>396520.4</v>
      </c>
      <c r="CG9">
        <v>4902282</v>
      </c>
      <c r="CH9">
        <v>15400</v>
      </c>
      <c r="CI9">
        <v>318.33</v>
      </c>
      <c r="CJ9">
        <v>4902282</v>
      </c>
      <c r="CK9">
        <v>15400</v>
      </c>
      <c r="CL9">
        <v>119582574.478</v>
      </c>
      <c r="CM9">
        <v>381120.4</v>
      </c>
      <c r="CN9">
        <v>0</v>
      </c>
      <c r="CO9">
        <v>0</v>
      </c>
      <c r="CP9">
        <v>0</v>
      </c>
      <c r="CQ9">
        <v>0</v>
      </c>
      <c r="CR9">
        <v>381996</v>
      </c>
      <c r="CS9">
        <v>8014600</v>
      </c>
      <c r="CT9">
        <v>331063.2</v>
      </c>
      <c r="CU9">
        <v>13000</v>
      </c>
      <c r="CV9">
        <v>3866436.18</v>
      </c>
      <c r="CW9">
        <v>5344888.0319999997</v>
      </c>
      <c r="CX9">
        <v>0.99056795060228997</v>
      </c>
      <c r="CY9">
        <v>9124442.5470140874</v>
      </c>
      <c r="CZ9">
        <v>9124442.5470140874</v>
      </c>
      <c r="DA9">
        <v>7.6302442783519997E-2</v>
      </c>
      <c r="DB9">
        <v>611665.46753900731</v>
      </c>
      <c r="DC9">
        <v>160326.57546085399</v>
      </c>
      <c r="DD9">
        <v>7244336.7300428376</v>
      </c>
      <c r="DE9">
        <v>25182.44831791757</v>
      </c>
      <c r="DF9">
        <v>287.67404299999998</v>
      </c>
      <c r="DG9">
        <v>25182.448</v>
      </c>
      <c r="DH9">
        <v>318.33</v>
      </c>
      <c r="DI9">
        <v>287.67404299999998</v>
      </c>
      <c r="DJ9">
        <v>25182.448</v>
      </c>
      <c r="DK9">
        <v>0</v>
      </c>
      <c r="DL9">
        <v>7244336.7300428376</v>
      </c>
      <c r="DM9">
        <v>25182.44831791757</v>
      </c>
      <c r="DN9">
        <v>286.02631646601668</v>
      </c>
      <c r="DO9">
        <v>97384.504268273551</v>
      </c>
      <c r="DP9">
        <v>27854531.036723372</v>
      </c>
      <c r="DQ9">
        <v>97384.504268273551</v>
      </c>
      <c r="DR9">
        <v>286.02631646601668</v>
      </c>
      <c r="DS9">
        <v>97384.504268273551</v>
      </c>
      <c r="DT9">
        <v>286.02631646601668</v>
      </c>
      <c r="DU9">
        <v>97384.504268273551</v>
      </c>
      <c r="DV9">
        <v>286.02631600000001</v>
      </c>
      <c r="DW9">
        <v>97384.504000000001</v>
      </c>
      <c r="DX9">
        <v>318.33</v>
      </c>
    </row>
    <row r="10" spans="1:128" x14ac:dyDescent="0.35">
      <c r="A10" t="s">
        <v>133</v>
      </c>
      <c r="B10">
        <v>663020110</v>
      </c>
      <c r="C10" t="s">
        <v>425</v>
      </c>
      <c r="D10" t="s">
        <v>477</v>
      </c>
      <c r="E10" t="s">
        <v>466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619434.18000000005</v>
      </c>
      <c r="M10">
        <v>1620</v>
      </c>
      <c r="N10">
        <v>24068.5</v>
      </c>
      <c r="O10">
        <v>23811084</v>
      </c>
      <c r="P10">
        <v>37400</v>
      </c>
      <c r="Q10">
        <v>496264.2</v>
      </c>
      <c r="R10">
        <v>0</v>
      </c>
      <c r="S10">
        <v>-24068.5</v>
      </c>
      <c r="T10">
        <v>-4.8499367877029999E-2</v>
      </c>
      <c r="U10">
        <v>0</v>
      </c>
      <c r="V10">
        <v>0</v>
      </c>
      <c r="W10">
        <v>23811084</v>
      </c>
      <c r="X10">
        <v>42800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5400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84300</v>
      </c>
      <c r="AQ10">
        <v>340995.09600000002</v>
      </c>
      <c r="AR10">
        <v>10712</v>
      </c>
      <c r="AS10">
        <v>23811084</v>
      </c>
      <c r="AT10">
        <v>37400</v>
      </c>
      <c r="AU10">
        <v>0</v>
      </c>
      <c r="AV10">
        <v>0</v>
      </c>
      <c r="AW10">
        <v>0</v>
      </c>
      <c r="AX10">
        <v>0</v>
      </c>
      <c r="AY10">
        <v>23811084</v>
      </c>
      <c r="AZ10">
        <v>37400</v>
      </c>
      <c r="BA10">
        <v>316033440.046</v>
      </c>
      <c r="BB10">
        <v>498836.2</v>
      </c>
      <c r="BC10">
        <v>0</v>
      </c>
      <c r="BD10">
        <v>0</v>
      </c>
      <c r="BE10">
        <v>904057.2</v>
      </c>
      <c r="BF10">
        <v>1420</v>
      </c>
      <c r="BG10">
        <v>12720466.800000001</v>
      </c>
      <c r="BH10">
        <v>19980</v>
      </c>
      <c r="BI10">
        <v>127332</v>
      </c>
      <c r="BJ10">
        <v>200</v>
      </c>
      <c r="BK10">
        <v>4088.5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1031389.2</v>
      </c>
      <c r="BU10">
        <v>1620</v>
      </c>
      <c r="BV10">
        <v>636.66</v>
      </c>
      <c r="BW10">
        <v>4.8249305082509998E-2</v>
      </c>
      <c r="BX10">
        <v>1148868.256261274</v>
      </c>
      <c r="BY10">
        <v>1804.5240100858759</v>
      </c>
      <c r="BZ10">
        <v>22662215.74373873</v>
      </c>
      <c r="CA10">
        <v>35595.475989914121</v>
      </c>
      <c r="CB10">
        <v>0</v>
      </c>
      <c r="CC10">
        <v>0</v>
      </c>
      <c r="CD10">
        <v>0</v>
      </c>
      <c r="CE10">
        <v>316033440.046</v>
      </c>
      <c r="CF10">
        <v>498836.2</v>
      </c>
      <c r="CG10">
        <v>15323451.210000001</v>
      </c>
      <c r="CH10">
        <v>24068.5</v>
      </c>
      <c r="CI10">
        <v>636.66</v>
      </c>
      <c r="CJ10">
        <v>15323451.210000001</v>
      </c>
      <c r="CK10">
        <v>24068.5</v>
      </c>
      <c r="CL10">
        <v>300709988.83600003</v>
      </c>
      <c r="CM10">
        <v>474767.7</v>
      </c>
      <c r="CN10">
        <v>0</v>
      </c>
      <c r="CO10">
        <v>0</v>
      </c>
      <c r="CP10">
        <v>0</v>
      </c>
      <c r="CQ10">
        <v>0</v>
      </c>
      <c r="CR10">
        <v>1016618.688</v>
      </c>
      <c r="CS10">
        <v>64016760</v>
      </c>
      <c r="CT10">
        <v>926976.96</v>
      </c>
      <c r="CU10">
        <v>18200</v>
      </c>
      <c r="CV10">
        <v>10212026.4</v>
      </c>
      <c r="CW10">
        <v>12588550.847999999</v>
      </c>
      <c r="CX10">
        <v>0.99180392281073004</v>
      </c>
      <c r="CY10">
        <v>22613701.95691558</v>
      </c>
      <c r="CZ10">
        <v>22613701.95691558</v>
      </c>
      <c r="DA10">
        <v>7.5201033542150006E-2</v>
      </c>
      <c r="DB10">
        <v>1704222.046284335</v>
      </c>
      <c r="DC10">
        <v>453244.31487477449</v>
      </c>
      <c r="DD10">
        <v>20504749.382579621</v>
      </c>
      <c r="DE10">
        <v>35595.475989914121</v>
      </c>
      <c r="DF10">
        <v>576.04930999999999</v>
      </c>
      <c r="DG10">
        <v>35595.476000000002</v>
      </c>
      <c r="DH10">
        <v>636.66</v>
      </c>
      <c r="DI10">
        <v>576.04930999999999</v>
      </c>
      <c r="DJ10">
        <v>35595.476000000002</v>
      </c>
      <c r="DK10">
        <v>0</v>
      </c>
      <c r="DL10">
        <v>20504749.382579621</v>
      </c>
      <c r="DM10">
        <v>35595.475989914121</v>
      </c>
      <c r="DN10">
        <v>576.28377540029169</v>
      </c>
      <c r="DO10">
        <v>120776.92480810059</v>
      </c>
      <c r="DP10">
        <v>69601782.209649354</v>
      </c>
      <c r="DQ10">
        <v>120776.92480810059</v>
      </c>
      <c r="DR10">
        <v>576.28377540029169</v>
      </c>
      <c r="DS10">
        <v>120776.92480810059</v>
      </c>
      <c r="DT10">
        <v>576.28377540029169</v>
      </c>
      <c r="DU10">
        <v>120776.92480810059</v>
      </c>
      <c r="DV10">
        <v>576.28377499999999</v>
      </c>
      <c r="DW10">
        <v>120776.925</v>
      </c>
      <c r="DX10">
        <v>636.66</v>
      </c>
    </row>
    <row r="11" spans="1:128" x14ac:dyDescent="0.35">
      <c r="A11" t="s">
        <v>142</v>
      </c>
      <c r="B11">
        <v>663020206</v>
      </c>
      <c r="C11" t="s">
        <v>426</v>
      </c>
      <c r="D11" t="s">
        <v>477</v>
      </c>
      <c r="E11" t="s">
        <v>466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142753.64000000001</v>
      </c>
      <c r="M11">
        <v>730.8</v>
      </c>
      <c r="N11">
        <v>150533.20000000001</v>
      </c>
      <c r="O11">
        <v>4664394</v>
      </c>
      <c r="P11">
        <v>16240</v>
      </c>
      <c r="Q11">
        <v>2291185.6</v>
      </c>
      <c r="R11">
        <v>0</v>
      </c>
      <c r="S11">
        <v>-150533.20000000001</v>
      </c>
      <c r="T11">
        <v>-6.5701006500739997E-2</v>
      </c>
      <c r="U11">
        <v>0</v>
      </c>
      <c r="V11">
        <v>0</v>
      </c>
      <c r="W11">
        <v>4664394</v>
      </c>
      <c r="X11">
        <v>20300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4060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410988</v>
      </c>
      <c r="AQ11">
        <v>0</v>
      </c>
      <c r="AR11">
        <v>0</v>
      </c>
      <c r="AS11">
        <v>4664394</v>
      </c>
      <c r="AT11">
        <v>16240</v>
      </c>
      <c r="AU11">
        <v>0</v>
      </c>
      <c r="AV11">
        <v>0</v>
      </c>
      <c r="AW11">
        <v>0</v>
      </c>
      <c r="AX11">
        <v>0</v>
      </c>
      <c r="AY11">
        <v>4664394</v>
      </c>
      <c r="AZ11">
        <v>16240</v>
      </c>
      <c r="BA11">
        <v>583851719.87</v>
      </c>
      <c r="BB11">
        <v>2291185.6</v>
      </c>
      <c r="BC11">
        <v>0</v>
      </c>
      <c r="BD11">
        <v>0</v>
      </c>
      <c r="BE11">
        <v>23321.97</v>
      </c>
      <c r="BF11">
        <v>81.2</v>
      </c>
      <c r="BG11">
        <v>11430153.25</v>
      </c>
      <c r="BH11">
        <v>45193.599999999999</v>
      </c>
      <c r="BI11">
        <v>186575.76</v>
      </c>
      <c r="BJ11">
        <v>649.6</v>
      </c>
      <c r="BK11">
        <v>105339.6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209897.73</v>
      </c>
      <c r="BU11">
        <v>730.8</v>
      </c>
      <c r="BV11">
        <v>287.21637931034479</v>
      </c>
      <c r="BW11">
        <v>6.5701006500739997E-2</v>
      </c>
      <c r="BX11">
        <v>306455.38051600882</v>
      </c>
      <c r="BY11">
        <v>1066.984345572004</v>
      </c>
      <c r="BZ11">
        <v>4357938.6194839925</v>
      </c>
      <c r="CA11">
        <v>15173.015654428</v>
      </c>
      <c r="CB11">
        <v>0</v>
      </c>
      <c r="CC11">
        <v>0</v>
      </c>
      <c r="CD11">
        <v>0</v>
      </c>
      <c r="CE11">
        <v>583851719.87</v>
      </c>
      <c r="CF11">
        <v>2291185.6</v>
      </c>
      <c r="CG11">
        <v>38089863.758780003</v>
      </c>
      <c r="CH11">
        <v>150533.20000000001</v>
      </c>
      <c r="CI11">
        <v>281.60799584107252</v>
      </c>
      <c r="CJ11">
        <v>42391352.759543322</v>
      </c>
      <c r="CK11">
        <v>150533.20000000001</v>
      </c>
      <c r="CL11">
        <v>541460367.11045671</v>
      </c>
      <c r="CM11">
        <v>2140652.4</v>
      </c>
      <c r="CN11">
        <v>0</v>
      </c>
      <c r="CO11">
        <v>0</v>
      </c>
      <c r="CP11">
        <v>0</v>
      </c>
      <c r="CQ11">
        <v>0</v>
      </c>
      <c r="CR11">
        <v>59237.803952000002</v>
      </c>
      <c r="CS11">
        <v>10312.4</v>
      </c>
      <c r="CT11">
        <v>41979.546000000002</v>
      </c>
      <c r="CU11">
        <v>7308</v>
      </c>
      <c r="CV11">
        <v>4513527.3147999998</v>
      </c>
      <c r="CW11">
        <v>6688971.50397</v>
      </c>
      <c r="CX11">
        <v>0.95402397780433001</v>
      </c>
      <c r="CY11">
        <v>10687452.484431259</v>
      </c>
      <c r="CZ11">
        <v>10687452.484431259</v>
      </c>
      <c r="DA11">
        <v>1.9738199014390001E-2</v>
      </c>
      <c r="DB11">
        <v>86017.859763874236</v>
      </c>
      <c r="DC11">
        <v>87158.772389679827</v>
      </c>
      <c r="DD11">
        <v>4184761.9873304372</v>
      </c>
      <c r="DE11">
        <v>15173.015654428</v>
      </c>
      <c r="DF11">
        <v>249.86806100000001</v>
      </c>
      <c r="DG11">
        <v>166903.17199999999</v>
      </c>
      <c r="DH11">
        <v>287.21637931034479</v>
      </c>
      <c r="DI11">
        <v>249.86806100000001</v>
      </c>
      <c r="DJ11">
        <v>166903.17199999999</v>
      </c>
      <c r="DK11">
        <v>0</v>
      </c>
      <c r="DL11">
        <v>41703772.060062133</v>
      </c>
      <c r="DM11">
        <v>166903.17219870799</v>
      </c>
      <c r="DN11">
        <v>250.034483473845</v>
      </c>
      <c r="DO11">
        <v>531909.00031317875</v>
      </c>
      <c r="DP11">
        <v>132995592.1483949</v>
      </c>
      <c r="DQ11">
        <v>531909.00031317875</v>
      </c>
      <c r="DR11">
        <v>250.034483473845</v>
      </c>
      <c r="DS11">
        <v>531909.00031317875</v>
      </c>
      <c r="DT11">
        <v>250.034483473845</v>
      </c>
      <c r="DU11">
        <v>531909.00031317875</v>
      </c>
      <c r="DV11">
        <v>250.03448299999999</v>
      </c>
      <c r="DW11">
        <v>531909</v>
      </c>
      <c r="DX11">
        <v>287.21637931034479</v>
      </c>
    </row>
    <row r="12" spans="1:128" x14ac:dyDescent="0.35">
      <c r="A12" t="s">
        <v>146</v>
      </c>
      <c r="B12">
        <v>663020206</v>
      </c>
      <c r="C12" t="s">
        <v>427</v>
      </c>
      <c r="D12" t="s">
        <v>477</v>
      </c>
      <c r="E12" t="s">
        <v>466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1703520.3</v>
      </c>
      <c r="M12">
        <v>9906.4</v>
      </c>
      <c r="N12">
        <v>150533.20000000001</v>
      </c>
      <c r="O12">
        <v>41185115.5</v>
      </c>
      <c r="P12">
        <v>159964</v>
      </c>
      <c r="Q12">
        <v>2291185.6</v>
      </c>
      <c r="R12">
        <v>0</v>
      </c>
      <c r="S12">
        <v>-150533.20000000001</v>
      </c>
      <c r="T12">
        <v>-6.5701006500739997E-2</v>
      </c>
      <c r="U12">
        <v>0</v>
      </c>
      <c r="V12">
        <v>0</v>
      </c>
      <c r="W12">
        <v>41185115.5</v>
      </c>
      <c r="X12">
        <v>193256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33292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410988</v>
      </c>
      <c r="AQ12">
        <v>0</v>
      </c>
      <c r="AR12">
        <v>0</v>
      </c>
      <c r="AS12">
        <v>41185115.5</v>
      </c>
      <c r="AT12">
        <v>159964</v>
      </c>
      <c r="AU12">
        <v>0</v>
      </c>
      <c r="AV12">
        <v>0</v>
      </c>
      <c r="AW12">
        <v>0</v>
      </c>
      <c r="AX12">
        <v>0</v>
      </c>
      <c r="AY12">
        <v>41185115.5</v>
      </c>
      <c r="AZ12">
        <v>159964</v>
      </c>
      <c r="BA12">
        <v>583851719.87</v>
      </c>
      <c r="BB12">
        <v>2291185.6</v>
      </c>
      <c r="BC12">
        <v>0</v>
      </c>
      <c r="BD12">
        <v>0</v>
      </c>
      <c r="BE12">
        <v>606278.35</v>
      </c>
      <c r="BF12">
        <v>2354.8000000000002</v>
      </c>
      <c r="BG12">
        <v>11430153.25</v>
      </c>
      <c r="BH12">
        <v>45193.599999999999</v>
      </c>
      <c r="BI12">
        <v>1944271.95</v>
      </c>
      <c r="BJ12">
        <v>7551.6</v>
      </c>
      <c r="BK12">
        <v>105339.6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2550550.2999999998</v>
      </c>
      <c r="BU12">
        <v>9906.4</v>
      </c>
      <c r="BV12">
        <v>257.46490147783248</v>
      </c>
      <c r="BW12">
        <v>6.5701006500739997E-2</v>
      </c>
      <c r="BX12">
        <v>2705903.5411991938</v>
      </c>
      <c r="BY12">
        <v>10509.795803884241</v>
      </c>
      <c r="BZ12">
        <v>38479211.958800808</v>
      </c>
      <c r="CA12">
        <v>149454.20419611581</v>
      </c>
      <c r="CB12">
        <v>0</v>
      </c>
      <c r="CC12">
        <v>0</v>
      </c>
      <c r="CD12">
        <v>0</v>
      </c>
      <c r="CE12">
        <v>583851719.87</v>
      </c>
      <c r="CF12">
        <v>2291185.6</v>
      </c>
      <c r="CG12">
        <v>38089863.758780003</v>
      </c>
      <c r="CH12">
        <v>150533.20000000001</v>
      </c>
      <c r="CI12">
        <v>252.4374394330938</v>
      </c>
      <c r="CJ12">
        <v>38000215.557669789</v>
      </c>
      <c r="CK12">
        <v>150533.20000000001</v>
      </c>
      <c r="CL12">
        <v>545851504.31233025</v>
      </c>
      <c r="CM12">
        <v>2140652.4</v>
      </c>
      <c r="CN12">
        <v>0</v>
      </c>
      <c r="CO12">
        <v>0</v>
      </c>
      <c r="CP12">
        <v>0</v>
      </c>
      <c r="CQ12">
        <v>0</v>
      </c>
      <c r="CR12">
        <v>497984.49014900002</v>
      </c>
      <c r="CS12">
        <v>96709.2</v>
      </c>
      <c r="CT12">
        <v>342860.85801999999</v>
      </c>
      <c r="CU12">
        <v>66584</v>
      </c>
      <c r="CV12">
        <v>4513527.3147999998</v>
      </c>
      <c r="CW12">
        <v>6688971.50397</v>
      </c>
      <c r="CX12">
        <v>0.95402397780433001</v>
      </c>
      <c r="CY12">
        <v>10687452.484431259</v>
      </c>
      <c r="CZ12">
        <v>10687452.484431259</v>
      </c>
      <c r="DA12">
        <v>1.9579413814929999E-2</v>
      </c>
      <c r="DB12">
        <v>753400.41421363025</v>
      </c>
      <c r="DC12">
        <v>769584.23917601607</v>
      </c>
      <c r="DD12">
        <v>36956227.30541116</v>
      </c>
      <c r="DE12">
        <v>149454.20419611581</v>
      </c>
      <c r="DF12">
        <v>249.86806100000001</v>
      </c>
      <c r="DG12">
        <v>166903.17199999999</v>
      </c>
      <c r="DH12">
        <v>257.46490147783248</v>
      </c>
      <c r="DI12">
        <v>249.86806100000001</v>
      </c>
      <c r="DJ12">
        <v>166903.17199999999</v>
      </c>
      <c r="DK12">
        <v>0</v>
      </c>
      <c r="DL12">
        <v>41703772.060062133</v>
      </c>
      <c r="DM12">
        <v>166903.17219870799</v>
      </c>
      <c r="DN12">
        <v>250.034483473845</v>
      </c>
      <c r="DO12">
        <v>531909.00031317875</v>
      </c>
      <c r="DP12">
        <v>132995592.1483949</v>
      </c>
      <c r="DQ12">
        <v>531909.00031317875</v>
      </c>
      <c r="DR12">
        <v>250.034483473845</v>
      </c>
      <c r="DS12">
        <v>531909.00031317875</v>
      </c>
      <c r="DT12">
        <v>250.034483473845</v>
      </c>
      <c r="DU12">
        <v>531909.00031317875</v>
      </c>
      <c r="DV12">
        <v>250.03448299999999</v>
      </c>
      <c r="DW12">
        <v>531909</v>
      </c>
      <c r="DX12">
        <v>257.46490147783248</v>
      </c>
    </row>
    <row r="13" spans="1:128" x14ac:dyDescent="0.35">
      <c r="A13" t="s">
        <v>150</v>
      </c>
      <c r="B13">
        <v>663020206</v>
      </c>
      <c r="C13" t="s">
        <v>428</v>
      </c>
      <c r="D13" t="s">
        <v>477</v>
      </c>
      <c r="E13" t="s">
        <v>466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2099.09</v>
      </c>
      <c r="M13">
        <v>11.6</v>
      </c>
      <c r="N13">
        <v>150533.20000000001</v>
      </c>
      <c r="O13">
        <v>627181.80000000005</v>
      </c>
      <c r="P13">
        <v>2436</v>
      </c>
      <c r="Q13">
        <v>2291185.6</v>
      </c>
      <c r="R13">
        <v>0</v>
      </c>
      <c r="S13">
        <v>-150533.20000000001</v>
      </c>
      <c r="T13">
        <v>-6.5701006500739997E-2</v>
      </c>
      <c r="U13">
        <v>0</v>
      </c>
      <c r="V13">
        <v>0</v>
      </c>
      <c r="W13">
        <v>627181.80000000005</v>
      </c>
      <c r="X13">
        <v>2784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348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410988</v>
      </c>
      <c r="AQ13">
        <v>0</v>
      </c>
      <c r="AR13">
        <v>0</v>
      </c>
      <c r="AS13">
        <v>627181.80000000005</v>
      </c>
      <c r="AT13">
        <v>2436</v>
      </c>
      <c r="AU13">
        <v>0</v>
      </c>
      <c r="AV13">
        <v>0</v>
      </c>
      <c r="AW13">
        <v>0</v>
      </c>
      <c r="AX13">
        <v>0</v>
      </c>
      <c r="AY13">
        <v>627181.80000000005</v>
      </c>
      <c r="AZ13">
        <v>2436</v>
      </c>
      <c r="BA13">
        <v>583851719.87</v>
      </c>
      <c r="BB13">
        <v>2291185.6</v>
      </c>
      <c r="BC13">
        <v>0</v>
      </c>
      <c r="BD13">
        <v>0</v>
      </c>
      <c r="BE13">
        <v>0</v>
      </c>
      <c r="BF13">
        <v>0</v>
      </c>
      <c r="BG13">
        <v>11430153.25</v>
      </c>
      <c r="BH13">
        <v>45193.599999999999</v>
      </c>
      <c r="BI13">
        <v>2986.58</v>
      </c>
      <c r="BJ13">
        <v>11.6</v>
      </c>
      <c r="BK13">
        <v>105339.6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2986.58</v>
      </c>
      <c r="BU13">
        <v>11.6</v>
      </c>
      <c r="BV13">
        <v>257.46379310344832</v>
      </c>
      <c r="BW13">
        <v>6.5701006500739997E-2</v>
      </c>
      <c r="BX13">
        <v>41206.475518945299</v>
      </c>
      <c r="BY13">
        <v>160.04765183580071</v>
      </c>
      <c r="BZ13">
        <v>585975.32448105467</v>
      </c>
      <c r="CA13">
        <v>2275.9523481642</v>
      </c>
      <c r="CB13">
        <v>0</v>
      </c>
      <c r="CC13">
        <v>0</v>
      </c>
      <c r="CD13">
        <v>0</v>
      </c>
      <c r="CE13">
        <v>583851719.87</v>
      </c>
      <c r="CF13">
        <v>2291185.6</v>
      </c>
      <c r="CG13">
        <v>38089863.758780003</v>
      </c>
      <c r="CH13">
        <v>150533.20000000001</v>
      </c>
      <c r="CI13">
        <v>252.43658846806099</v>
      </c>
      <c r="CJ13">
        <v>38000087.459180333</v>
      </c>
      <c r="CK13">
        <v>150533.20000000001</v>
      </c>
      <c r="CL13">
        <v>545851632.41081965</v>
      </c>
      <c r="CM13">
        <v>2140652.4</v>
      </c>
      <c r="CN13">
        <v>0</v>
      </c>
      <c r="CO13">
        <v>0</v>
      </c>
      <c r="CP13">
        <v>0</v>
      </c>
      <c r="CQ13">
        <v>0</v>
      </c>
      <c r="CR13">
        <v>1613.156369</v>
      </c>
      <c r="CS13">
        <v>313.2</v>
      </c>
      <c r="CT13">
        <v>597.31600000000003</v>
      </c>
      <c r="CU13">
        <v>116</v>
      </c>
      <c r="CV13">
        <v>4513527.3147999998</v>
      </c>
      <c r="CW13">
        <v>6688971.50397</v>
      </c>
      <c r="CX13">
        <v>0.95402397780433001</v>
      </c>
      <c r="CY13">
        <v>10687452.484431259</v>
      </c>
      <c r="CZ13">
        <v>10687452.484431259</v>
      </c>
      <c r="DA13">
        <v>1.95794092201E-2</v>
      </c>
      <c r="DB13">
        <v>11473.050670895689</v>
      </c>
      <c r="DC13">
        <v>11719.50648962109</v>
      </c>
      <c r="DD13">
        <v>562782.76732053794</v>
      </c>
      <c r="DE13">
        <v>2275.9523481642</v>
      </c>
      <c r="DF13">
        <v>249.86806100000001</v>
      </c>
      <c r="DG13">
        <v>166903.17199999999</v>
      </c>
      <c r="DH13">
        <v>257.46379310344832</v>
      </c>
      <c r="DI13">
        <v>249.86806100000001</v>
      </c>
      <c r="DJ13">
        <v>166903.17199999999</v>
      </c>
      <c r="DK13">
        <v>0</v>
      </c>
      <c r="DL13">
        <v>41703772.060062133</v>
      </c>
      <c r="DM13">
        <v>166903.17219870799</v>
      </c>
      <c r="DN13">
        <v>250.034483473845</v>
      </c>
      <c r="DO13">
        <v>531909.00031317875</v>
      </c>
      <c r="DP13">
        <v>132995592.1483949</v>
      </c>
      <c r="DQ13">
        <v>531909.00031317875</v>
      </c>
      <c r="DR13">
        <v>250.034483473845</v>
      </c>
      <c r="DS13">
        <v>531909.00031317875</v>
      </c>
      <c r="DT13">
        <v>250.034483473845</v>
      </c>
      <c r="DU13">
        <v>531909.00031317875</v>
      </c>
      <c r="DV13">
        <v>250.03448299999999</v>
      </c>
      <c r="DW13">
        <v>531909</v>
      </c>
      <c r="DX13">
        <v>257.46379310344832</v>
      </c>
    </row>
    <row r="14" spans="1:128" x14ac:dyDescent="0.35">
      <c r="A14" t="s">
        <v>154</v>
      </c>
      <c r="B14">
        <v>663020206</v>
      </c>
      <c r="C14" t="s">
        <v>429</v>
      </c>
      <c r="D14" t="s">
        <v>477</v>
      </c>
      <c r="E14" t="s">
        <v>466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150533.20000000001</v>
      </c>
      <c r="O14">
        <v>0</v>
      </c>
      <c r="P14">
        <v>0</v>
      </c>
      <c r="Q14">
        <v>2291185.6</v>
      </c>
      <c r="R14">
        <v>0</v>
      </c>
      <c r="S14">
        <v>-150533.20000000001</v>
      </c>
      <c r="T14">
        <v>-6.5701006500739997E-2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410988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583851719.87</v>
      </c>
      <c r="BB14">
        <v>2291185.6</v>
      </c>
      <c r="BC14">
        <v>0</v>
      </c>
      <c r="BD14">
        <v>0</v>
      </c>
      <c r="BE14">
        <v>0</v>
      </c>
      <c r="BF14">
        <v>0</v>
      </c>
      <c r="BG14">
        <v>11430153.25</v>
      </c>
      <c r="BH14">
        <v>45193.599999999999</v>
      </c>
      <c r="BI14">
        <v>0</v>
      </c>
      <c r="BJ14">
        <v>0</v>
      </c>
      <c r="BK14">
        <v>105339.6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6.5701006500739997E-2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583851719.87</v>
      </c>
      <c r="CF14">
        <v>2291185.6</v>
      </c>
      <c r="CG14">
        <v>38089863.758780003</v>
      </c>
      <c r="CH14">
        <v>150533.20000000001</v>
      </c>
      <c r="CI14">
        <v>456.63012295081973</v>
      </c>
      <c r="CJ14">
        <v>68737993.624180332</v>
      </c>
      <c r="CK14">
        <v>150533.20000000001</v>
      </c>
      <c r="CL14">
        <v>515113726.24581969</v>
      </c>
      <c r="CM14">
        <v>2140652.4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4513527.3147999998</v>
      </c>
      <c r="CW14">
        <v>6688971.50397</v>
      </c>
      <c r="CX14">
        <v>0.95402397780433001</v>
      </c>
      <c r="CY14">
        <v>10687452.484431259</v>
      </c>
      <c r="CZ14">
        <v>10687452.484431259</v>
      </c>
      <c r="DA14">
        <v>2.074775324339E-2</v>
      </c>
      <c r="DB14">
        <v>0</v>
      </c>
      <c r="DC14">
        <v>0</v>
      </c>
      <c r="DD14">
        <v>0</v>
      </c>
      <c r="DE14">
        <v>0</v>
      </c>
      <c r="DF14">
        <v>249.86806100000001</v>
      </c>
      <c r="DG14">
        <v>166903.17199999999</v>
      </c>
      <c r="DH14">
        <v>465.72413793103448</v>
      </c>
      <c r="DI14">
        <v>249.86806100000001</v>
      </c>
      <c r="DJ14">
        <v>166903.17199999999</v>
      </c>
      <c r="DK14">
        <v>0</v>
      </c>
      <c r="DL14">
        <v>41703772.060062133</v>
      </c>
      <c r="DM14">
        <v>166903.17219870799</v>
      </c>
      <c r="DN14">
        <v>250.034483473845</v>
      </c>
      <c r="DO14">
        <v>531909.00031317875</v>
      </c>
      <c r="DP14">
        <v>132995592.1483949</v>
      </c>
      <c r="DQ14">
        <v>531909.00031317875</v>
      </c>
      <c r="DR14">
        <v>250.034483473845</v>
      </c>
      <c r="DS14">
        <v>531909.00031317875</v>
      </c>
      <c r="DT14">
        <v>250.034483473845</v>
      </c>
      <c r="DU14">
        <v>531909.00031317875</v>
      </c>
      <c r="DV14">
        <v>250.03448299999999</v>
      </c>
      <c r="DW14">
        <v>531909</v>
      </c>
      <c r="DX14">
        <v>465.72413793103448</v>
      </c>
    </row>
    <row r="15" spans="1:128" x14ac:dyDescent="0.35">
      <c r="A15" t="s">
        <v>155</v>
      </c>
      <c r="B15">
        <v>663020300</v>
      </c>
      <c r="C15" t="s">
        <v>430</v>
      </c>
      <c r="D15" t="s">
        <v>477</v>
      </c>
      <c r="E15" t="s">
        <v>467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842.4</v>
      </c>
      <c r="M15">
        <v>18000</v>
      </c>
      <c r="N15">
        <v>211200</v>
      </c>
      <c r="O15">
        <v>108327.96</v>
      </c>
      <c r="P15">
        <v>15600</v>
      </c>
      <c r="Q15">
        <v>230300</v>
      </c>
      <c r="R15">
        <v>230300</v>
      </c>
      <c r="S15">
        <v>-211200</v>
      </c>
      <c r="T15">
        <v>-0.91706469821971004</v>
      </c>
      <c r="U15">
        <v>0</v>
      </c>
      <c r="V15">
        <v>0</v>
      </c>
      <c r="W15">
        <v>108327.96</v>
      </c>
      <c r="X15">
        <v>18600</v>
      </c>
      <c r="Y15">
        <v>0</v>
      </c>
      <c r="Z15">
        <v>0</v>
      </c>
      <c r="AA15">
        <v>108327.96</v>
      </c>
      <c r="AB15">
        <v>15600</v>
      </c>
      <c r="AC15">
        <v>0</v>
      </c>
      <c r="AD15">
        <v>0</v>
      </c>
      <c r="AE15">
        <v>0</v>
      </c>
      <c r="AF15">
        <v>3000</v>
      </c>
      <c r="AG15">
        <v>0</v>
      </c>
      <c r="AH15">
        <v>0</v>
      </c>
      <c r="AI15">
        <v>0</v>
      </c>
      <c r="AJ15">
        <v>0</v>
      </c>
      <c r="AK15">
        <v>1568988.45</v>
      </c>
      <c r="AL15">
        <v>230300</v>
      </c>
      <c r="AM15">
        <v>0</v>
      </c>
      <c r="AN15">
        <v>0</v>
      </c>
      <c r="AO15">
        <v>0</v>
      </c>
      <c r="AP15">
        <v>61200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18262.62</v>
      </c>
      <c r="BH15">
        <v>2700</v>
      </c>
      <c r="BI15">
        <v>1249.2</v>
      </c>
      <c r="BJ15">
        <v>18000</v>
      </c>
      <c r="BK15">
        <v>208500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1249.2</v>
      </c>
      <c r="BU15">
        <v>18000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50269.035300000003</v>
      </c>
      <c r="CH15">
        <v>211200</v>
      </c>
      <c r="CI15">
        <v>6.8085319672131099</v>
      </c>
      <c r="CJ15">
        <v>1437961.95147541</v>
      </c>
      <c r="CK15">
        <v>211200</v>
      </c>
      <c r="CL15">
        <v>-1437961.95147541</v>
      </c>
      <c r="CM15">
        <v>-211200</v>
      </c>
      <c r="CN15">
        <v>10579.460815</v>
      </c>
      <c r="CO15">
        <v>1564500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6.9440999999999997</v>
      </c>
      <c r="DI15">
        <v>6.9440999999999997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6.9440999999999997</v>
      </c>
      <c r="DW15">
        <v>0</v>
      </c>
      <c r="DX15">
        <v>6.9440999999999997</v>
      </c>
    </row>
    <row r="16" spans="1:128" x14ac:dyDescent="0.35">
      <c r="A16" t="s">
        <v>158</v>
      </c>
      <c r="B16">
        <v>663020300</v>
      </c>
      <c r="C16" t="s">
        <v>430</v>
      </c>
      <c r="D16" t="s">
        <v>477</v>
      </c>
      <c r="E16" t="s">
        <v>467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211200</v>
      </c>
      <c r="O16">
        <v>0</v>
      </c>
      <c r="P16">
        <v>0</v>
      </c>
      <c r="Q16">
        <v>230300</v>
      </c>
      <c r="R16">
        <v>230300</v>
      </c>
      <c r="S16">
        <v>-211200</v>
      </c>
      <c r="T16">
        <v>-0.91706469821971004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1568988.45</v>
      </c>
      <c r="AL16">
        <v>230300</v>
      </c>
      <c r="AM16">
        <v>0</v>
      </c>
      <c r="AN16">
        <v>0</v>
      </c>
      <c r="AO16">
        <v>0</v>
      </c>
      <c r="AP16">
        <v>61200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18262.62</v>
      </c>
      <c r="BH16">
        <v>2700</v>
      </c>
      <c r="BI16">
        <v>0</v>
      </c>
      <c r="BJ16">
        <v>0</v>
      </c>
      <c r="BK16">
        <v>208500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50269.035300000003</v>
      </c>
      <c r="CH16">
        <v>211200</v>
      </c>
      <c r="CI16">
        <v>6.8085573770491798</v>
      </c>
      <c r="CJ16">
        <v>1437967.3180327869</v>
      </c>
      <c r="CK16">
        <v>211200</v>
      </c>
      <c r="CL16">
        <v>-1437967.3180327869</v>
      </c>
      <c r="CM16">
        <v>-211200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6.944</v>
      </c>
      <c r="DI16">
        <v>6.9440999999999997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6.9440999999999997</v>
      </c>
      <c r="DW16">
        <v>0</v>
      </c>
      <c r="DX16">
        <v>6.944</v>
      </c>
    </row>
    <row r="17" spans="1:128" x14ac:dyDescent="0.35">
      <c r="A17" t="s">
        <v>159</v>
      </c>
      <c r="B17">
        <v>663020302</v>
      </c>
      <c r="C17" t="s">
        <v>431</v>
      </c>
      <c r="D17" t="s">
        <v>477</v>
      </c>
      <c r="E17" t="s">
        <v>467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23584.7</v>
      </c>
      <c r="M17">
        <v>22600</v>
      </c>
      <c r="N17">
        <v>1020100</v>
      </c>
      <c r="O17">
        <v>1316535</v>
      </c>
      <c r="P17">
        <v>94800</v>
      </c>
      <c r="Q17">
        <v>1267100</v>
      </c>
      <c r="R17">
        <v>1267100</v>
      </c>
      <c r="S17">
        <v>-1020100</v>
      </c>
      <c r="T17">
        <v>-0.80506668771209999</v>
      </c>
      <c r="U17">
        <v>0</v>
      </c>
      <c r="V17">
        <v>0</v>
      </c>
      <c r="W17">
        <v>1316535</v>
      </c>
      <c r="X17">
        <v>109200</v>
      </c>
      <c r="Y17">
        <v>0</v>
      </c>
      <c r="Z17">
        <v>0</v>
      </c>
      <c r="AA17">
        <v>1316535</v>
      </c>
      <c r="AB17">
        <v>94800</v>
      </c>
      <c r="AC17">
        <v>0</v>
      </c>
      <c r="AD17">
        <v>0</v>
      </c>
      <c r="AE17">
        <v>0</v>
      </c>
      <c r="AF17">
        <v>14400</v>
      </c>
      <c r="AG17">
        <v>0</v>
      </c>
      <c r="AH17">
        <v>0</v>
      </c>
      <c r="AI17">
        <v>0</v>
      </c>
      <c r="AJ17">
        <v>0</v>
      </c>
      <c r="AK17">
        <v>17282044.989999998</v>
      </c>
      <c r="AL17">
        <v>1267100</v>
      </c>
      <c r="AM17">
        <v>0</v>
      </c>
      <c r="AN17">
        <v>0</v>
      </c>
      <c r="AO17">
        <v>0</v>
      </c>
      <c r="AP17">
        <v>248500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27775</v>
      </c>
      <c r="BF17">
        <v>2000</v>
      </c>
      <c r="BG17">
        <v>321479.09000000003</v>
      </c>
      <c r="BH17">
        <v>23700</v>
      </c>
      <c r="BI17">
        <v>5611.06</v>
      </c>
      <c r="BJ17">
        <v>20600</v>
      </c>
      <c r="BK17">
        <v>996400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33386.06</v>
      </c>
      <c r="BU17">
        <v>22600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480730.2317</v>
      </c>
      <c r="CH17">
        <v>1020100</v>
      </c>
      <c r="CI17">
        <v>13.616322131147539</v>
      </c>
      <c r="CJ17">
        <v>13890010.205983611</v>
      </c>
      <c r="CK17">
        <v>1020100</v>
      </c>
      <c r="CL17">
        <v>-13890010.205983611</v>
      </c>
      <c r="CM17">
        <v>-1020100</v>
      </c>
      <c r="CN17">
        <v>115552.949808</v>
      </c>
      <c r="CO17">
        <v>7566400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13.887499999999999</v>
      </c>
      <c r="DI17">
        <v>13.887499999999999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13.887499999999999</v>
      </c>
      <c r="DW17">
        <v>0</v>
      </c>
      <c r="DX17">
        <v>13.887499999999999</v>
      </c>
    </row>
    <row r="18" spans="1:128" x14ac:dyDescent="0.35">
      <c r="A18" t="s">
        <v>162</v>
      </c>
      <c r="B18">
        <v>663020302</v>
      </c>
      <c r="C18" t="s">
        <v>431</v>
      </c>
      <c r="D18" t="s">
        <v>477</v>
      </c>
      <c r="E18" t="s">
        <v>467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1020100</v>
      </c>
      <c r="O18">
        <v>0</v>
      </c>
      <c r="P18">
        <v>0</v>
      </c>
      <c r="Q18">
        <v>1267100</v>
      </c>
      <c r="R18">
        <v>1267100</v>
      </c>
      <c r="S18">
        <v>-1020100</v>
      </c>
      <c r="T18">
        <v>-0.80506668771209999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17282044.989999998</v>
      </c>
      <c r="AL18">
        <v>1267100</v>
      </c>
      <c r="AM18">
        <v>0</v>
      </c>
      <c r="AN18">
        <v>0</v>
      </c>
      <c r="AO18">
        <v>0</v>
      </c>
      <c r="AP18">
        <v>248500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321479.09000000003</v>
      </c>
      <c r="BH18">
        <v>23700</v>
      </c>
      <c r="BI18">
        <v>0</v>
      </c>
      <c r="BJ18">
        <v>0</v>
      </c>
      <c r="BK18">
        <v>996400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480730.2317</v>
      </c>
      <c r="CH18">
        <v>1020100</v>
      </c>
      <c r="CI18">
        <v>13.615114754098361</v>
      </c>
      <c r="CJ18">
        <v>13888778.560655739</v>
      </c>
      <c r="CK18">
        <v>1020100</v>
      </c>
      <c r="CL18">
        <v>-13888778.560655739</v>
      </c>
      <c r="CM18">
        <v>-1020100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13.885999999999999</v>
      </c>
      <c r="DI18">
        <v>13.887499999999999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13.887499999999999</v>
      </c>
      <c r="DW18">
        <v>0</v>
      </c>
      <c r="DX18">
        <v>13.885999999999999</v>
      </c>
    </row>
    <row r="19" spans="1:128" x14ac:dyDescent="0.35">
      <c r="A19" t="s">
        <v>163</v>
      </c>
      <c r="B19">
        <v>663020310</v>
      </c>
      <c r="C19" t="s">
        <v>432</v>
      </c>
      <c r="D19" t="s">
        <v>477</v>
      </c>
      <c r="E19" t="s">
        <v>467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230244.92</v>
      </c>
      <c r="M19">
        <v>184200</v>
      </c>
      <c r="N19">
        <v>1748360</v>
      </c>
      <c r="O19">
        <v>7332771.5999999996</v>
      </c>
      <c r="P19">
        <v>132000</v>
      </c>
      <c r="Q19">
        <v>1689620</v>
      </c>
      <c r="R19">
        <v>1689620</v>
      </c>
      <c r="S19">
        <v>-1748360</v>
      </c>
      <c r="T19">
        <v>-1.0347652134799501</v>
      </c>
      <c r="U19">
        <v>0</v>
      </c>
      <c r="V19">
        <v>0</v>
      </c>
      <c r="W19">
        <v>7332771.5999999996</v>
      </c>
      <c r="X19">
        <v>147600</v>
      </c>
      <c r="Y19">
        <v>0</v>
      </c>
      <c r="Z19">
        <v>0</v>
      </c>
      <c r="AA19">
        <v>7332771.5999999996</v>
      </c>
      <c r="AB19">
        <v>132000</v>
      </c>
      <c r="AC19">
        <v>0</v>
      </c>
      <c r="AD19">
        <v>0</v>
      </c>
      <c r="AE19">
        <v>0</v>
      </c>
      <c r="AF19">
        <v>15600</v>
      </c>
      <c r="AG19">
        <v>0</v>
      </c>
      <c r="AH19">
        <v>0</v>
      </c>
      <c r="AI19">
        <v>0</v>
      </c>
      <c r="AJ19">
        <v>0</v>
      </c>
      <c r="AK19">
        <v>92205934.650000006</v>
      </c>
      <c r="AL19">
        <v>1689620</v>
      </c>
      <c r="AM19">
        <v>0</v>
      </c>
      <c r="AN19">
        <v>0</v>
      </c>
      <c r="AO19">
        <v>0</v>
      </c>
      <c r="AP19">
        <v>247900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199984.68</v>
      </c>
      <c r="BF19">
        <v>3600</v>
      </c>
      <c r="BG19">
        <v>2330849.06</v>
      </c>
      <c r="BH19">
        <v>42860</v>
      </c>
      <c r="BI19">
        <v>133320.78</v>
      </c>
      <c r="BJ19">
        <v>180600</v>
      </c>
      <c r="BK19">
        <v>1705500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333305.46000000002</v>
      </c>
      <c r="BU19">
        <v>184200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3615197.7349</v>
      </c>
      <c r="CH19">
        <v>1748360</v>
      </c>
      <c r="CI19">
        <v>54.466588524590158</v>
      </c>
      <c r="CJ19">
        <v>95227204.712852463</v>
      </c>
      <c r="CK19">
        <v>1748360</v>
      </c>
      <c r="CL19">
        <v>-95227204.712852463</v>
      </c>
      <c r="CM19">
        <v>-1748360</v>
      </c>
      <c r="CN19">
        <v>710248.295025</v>
      </c>
      <c r="CO19">
        <v>11515600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55.551299999999998</v>
      </c>
      <c r="DI19">
        <v>55.551299999999998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55.551299999999998</v>
      </c>
      <c r="DW19">
        <v>0</v>
      </c>
      <c r="DX19">
        <v>55.551299999999998</v>
      </c>
    </row>
    <row r="20" spans="1:128" x14ac:dyDescent="0.35">
      <c r="A20" t="s">
        <v>166</v>
      </c>
      <c r="B20">
        <v>663020310</v>
      </c>
      <c r="C20" t="s">
        <v>432</v>
      </c>
      <c r="D20" t="s">
        <v>477</v>
      </c>
      <c r="E20" t="s">
        <v>467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1748360</v>
      </c>
      <c r="O20">
        <v>0</v>
      </c>
      <c r="P20">
        <v>0</v>
      </c>
      <c r="Q20">
        <v>1689620</v>
      </c>
      <c r="R20">
        <v>1689620</v>
      </c>
      <c r="S20">
        <v>-1748360</v>
      </c>
      <c r="T20">
        <v>-1.0347652134799501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92205934.650000006</v>
      </c>
      <c r="AL20">
        <v>1689620</v>
      </c>
      <c r="AM20">
        <v>0</v>
      </c>
      <c r="AN20">
        <v>0</v>
      </c>
      <c r="AO20">
        <v>0</v>
      </c>
      <c r="AP20">
        <v>247900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2330849.06</v>
      </c>
      <c r="BH20">
        <v>42860</v>
      </c>
      <c r="BI20">
        <v>0</v>
      </c>
      <c r="BJ20">
        <v>0</v>
      </c>
      <c r="BK20">
        <v>1705500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3615197.7349</v>
      </c>
      <c r="CH20">
        <v>1748360</v>
      </c>
      <c r="CI20">
        <v>54.466622950819669</v>
      </c>
      <c r="CJ20">
        <v>95227264.902295083</v>
      </c>
      <c r="CK20">
        <v>1748360</v>
      </c>
      <c r="CL20">
        <v>-95227264.902295083</v>
      </c>
      <c r="CM20">
        <v>-1748360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55.551000000000002</v>
      </c>
      <c r="DI20">
        <v>55.551299999999998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55.551299999999998</v>
      </c>
      <c r="DW20">
        <v>0</v>
      </c>
      <c r="DX20">
        <v>55.551000000000002</v>
      </c>
    </row>
    <row r="21" spans="1:128" x14ac:dyDescent="0.35">
      <c r="A21" t="s">
        <v>167</v>
      </c>
      <c r="B21">
        <v>663020325</v>
      </c>
      <c r="C21" t="s">
        <v>433</v>
      </c>
      <c r="D21" t="s">
        <v>477</v>
      </c>
      <c r="E21" t="s">
        <v>467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129569.1</v>
      </c>
      <c r="M21">
        <v>17400</v>
      </c>
      <c r="N21">
        <v>322800</v>
      </c>
      <c r="O21">
        <v>7832753.04</v>
      </c>
      <c r="P21">
        <v>56400</v>
      </c>
      <c r="Q21">
        <v>713460</v>
      </c>
      <c r="R21">
        <v>713460</v>
      </c>
      <c r="S21">
        <v>-322800</v>
      </c>
      <c r="T21">
        <v>-0.45244302413589998</v>
      </c>
      <c r="U21">
        <v>0</v>
      </c>
      <c r="V21">
        <v>0</v>
      </c>
      <c r="W21">
        <v>7832753.04</v>
      </c>
      <c r="X21">
        <v>68400</v>
      </c>
      <c r="Y21">
        <v>0</v>
      </c>
      <c r="Z21">
        <v>0</v>
      </c>
      <c r="AA21">
        <v>7832753.04</v>
      </c>
      <c r="AB21">
        <v>56400</v>
      </c>
      <c r="AC21">
        <v>0</v>
      </c>
      <c r="AD21">
        <v>0</v>
      </c>
      <c r="AE21">
        <v>0</v>
      </c>
      <c r="AF21">
        <v>12000</v>
      </c>
      <c r="AG21">
        <v>0</v>
      </c>
      <c r="AH21">
        <v>0</v>
      </c>
      <c r="AI21">
        <v>0</v>
      </c>
      <c r="AJ21">
        <v>0</v>
      </c>
      <c r="AK21">
        <v>97205920.379999995</v>
      </c>
      <c r="AL21">
        <v>713460</v>
      </c>
      <c r="AM21">
        <v>0</v>
      </c>
      <c r="AN21">
        <v>0</v>
      </c>
      <c r="AO21">
        <v>0</v>
      </c>
      <c r="AP21">
        <v>126700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166654.32</v>
      </c>
      <c r="BF21">
        <v>1200</v>
      </c>
      <c r="BG21">
        <v>2647802.67</v>
      </c>
      <c r="BH21">
        <v>19500</v>
      </c>
      <c r="BI21">
        <v>22498.560000000001</v>
      </c>
      <c r="BJ21">
        <v>16200</v>
      </c>
      <c r="BK21">
        <v>303300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189152.88</v>
      </c>
      <c r="BU21">
        <v>17400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3057324.6483</v>
      </c>
      <c r="CH21">
        <v>322800</v>
      </c>
      <c r="CI21">
        <v>136.1667795081967</v>
      </c>
      <c r="CJ21">
        <v>43954636.425245903</v>
      </c>
      <c r="CK21">
        <v>322800</v>
      </c>
      <c r="CL21">
        <v>-43954636.425245903</v>
      </c>
      <c r="CM21">
        <v>-322800</v>
      </c>
      <c r="CN21">
        <v>738682.68597200001</v>
      </c>
      <c r="CO21">
        <v>4629500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138.87860000000001</v>
      </c>
      <c r="DI21">
        <v>138.87860000000001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138.87860000000001</v>
      </c>
      <c r="DW21">
        <v>0</v>
      </c>
      <c r="DX21">
        <v>138.87860000000001</v>
      </c>
    </row>
    <row r="22" spans="1:128" x14ac:dyDescent="0.35">
      <c r="A22" t="s">
        <v>172</v>
      </c>
      <c r="B22">
        <v>663020325</v>
      </c>
      <c r="C22" t="s">
        <v>433</v>
      </c>
      <c r="D22" t="s">
        <v>477</v>
      </c>
      <c r="E22" t="s">
        <v>467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322800</v>
      </c>
      <c r="O22">
        <v>0</v>
      </c>
      <c r="P22">
        <v>0</v>
      </c>
      <c r="Q22">
        <v>713460</v>
      </c>
      <c r="R22">
        <v>713460</v>
      </c>
      <c r="S22">
        <v>-322800</v>
      </c>
      <c r="T22">
        <v>-0.45244302413589998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97205920.379999995</v>
      </c>
      <c r="AL22">
        <v>713460</v>
      </c>
      <c r="AM22">
        <v>0</v>
      </c>
      <c r="AN22">
        <v>0</v>
      </c>
      <c r="AO22">
        <v>0</v>
      </c>
      <c r="AP22">
        <v>126700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2647802.67</v>
      </c>
      <c r="BH22">
        <v>19500</v>
      </c>
      <c r="BI22">
        <v>0</v>
      </c>
      <c r="BJ22">
        <v>0</v>
      </c>
      <c r="BK22">
        <v>303300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3057324.6483</v>
      </c>
      <c r="CH22">
        <v>322800</v>
      </c>
      <c r="CI22">
        <v>136.1662213114754</v>
      </c>
      <c r="CJ22">
        <v>43954456.239344262</v>
      </c>
      <c r="CK22">
        <v>322800</v>
      </c>
      <c r="CL22">
        <v>-43954456.239344262</v>
      </c>
      <c r="CM22">
        <v>-322800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138.87799999999999</v>
      </c>
      <c r="DI22">
        <v>138.87860000000001</v>
      </c>
      <c r="DJ22">
        <v>0</v>
      </c>
      <c r="DK22">
        <v>1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138.87860000000001</v>
      </c>
      <c r="DW22">
        <v>0</v>
      </c>
      <c r="DX22">
        <v>138.87799999999999</v>
      </c>
    </row>
    <row r="23" spans="1:128" x14ac:dyDescent="0.35">
      <c r="A23" t="s">
        <v>173</v>
      </c>
      <c r="B23">
        <v>663020350</v>
      </c>
      <c r="C23" t="s">
        <v>434</v>
      </c>
      <c r="D23" t="s">
        <v>477</v>
      </c>
      <c r="E23" t="s">
        <v>467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850937.1</v>
      </c>
      <c r="M23">
        <v>117500</v>
      </c>
      <c r="N23">
        <v>1367600</v>
      </c>
      <c r="O23">
        <v>22331662.800000001</v>
      </c>
      <c r="P23">
        <v>80400</v>
      </c>
      <c r="Q23">
        <v>936220</v>
      </c>
      <c r="R23">
        <v>936220</v>
      </c>
      <c r="S23">
        <v>-1367600</v>
      </c>
      <c r="T23">
        <v>-1.4607677682596001</v>
      </c>
      <c r="U23">
        <v>0</v>
      </c>
      <c r="V23">
        <v>0</v>
      </c>
      <c r="W23">
        <v>22331662.800000001</v>
      </c>
      <c r="X23">
        <v>110000</v>
      </c>
      <c r="Y23">
        <v>0</v>
      </c>
      <c r="Z23">
        <v>0</v>
      </c>
      <c r="AA23">
        <v>22331662.800000001</v>
      </c>
      <c r="AB23">
        <v>80400</v>
      </c>
      <c r="AC23">
        <v>0</v>
      </c>
      <c r="AD23">
        <v>0</v>
      </c>
      <c r="AE23">
        <v>0</v>
      </c>
      <c r="AF23">
        <v>29600</v>
      </c>
      <c r="AG23">
        <v>0</v>
      </c>
      <c r="AH23">
        <v>0</v>
      </c>
      <c r="AI23">
        <v>0</v>
      </c>
      <c r="AJ23">
        <v>0</v>
      </c>
      <c r="AK23">
        <v>255300849.5</v>
      </c>
      <c r="AL23">
        <v>936220</v>
      </c>
      <c r="AM23">
        <v>0</v>
      </c>
      <c r="AN23">
        <v>0</v>
      </c>
      <c r="AO23">
        <v>0</v>
      </c>
      <c r="AP23">
        <v>179100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972149.5</v>
      </c>
      <c r="BF23">
        <v>3500</v>
      </c>
      <c r="BG23">
        <v>10772656.619999999</v>
      </c>
      <c r="BH23">
        <v>39700</v>
      </c>
      <c r="BI23">
        <v>316646.40000000002</v>
      </c>
      <c r="BJ23">
        <v>114000</v>
      </c>
      <c r="BK23">
        <v>1327900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1288795.8999999999</v>
      </c>
      <c r="BU23">
        <v>117500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14361218.559599999</v>
      </c>
      <c r="CH23">
        <v>1367600</v>
      </c>
      <c r="CI23">
        <v>272.33331721311481</v>
      </c>
      <c r="CJ23">
        <v>372443044.62065572</v>
      </c>
      <c r="CK23">
        <v>1367600</v>
      </c>
      <c r="CL23">
        <v>-372443044.62065572</v>
      </c>
      <c r="CM23">
        <v>-1367600</v>
      </c>
      <c r="CN23">
        <v>1770614.01088</v>
      </c>
      <c r="CO23">
        <v>5991600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1593.89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277.75700000000001</v>
      </c>
      <c r="DI23">
        <v>277.75700000000001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277.75700000000001</v>
      </c>
      <c r="DW23">
        <v>0</v>
      </c>
      <c r="DX23">
        <v>277.75700000000001</v>
      </c>
    </row>
    <row r="24" spans="1:128" x14ac:dyDescent="0.35">
      <c r="A24" t="s">
        <v>176</v>
      </c>
      <c r="B24">
        <v>663020350</v>
      </c>
      <c r="C24" t="s">
        <v>434</v>
      </c>
      <c r="D24" t="s">
        <v>477</v>
      </c>
      <c r="E24" t="s">
        <v>467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1367600</v>
      </c>
      <c r="O24">
        <v>0</v>
      </c>
      <c r="P24">
        <v>0</v>
      </c>
      <c r="Q24">
        <v>936220</v>
      </c>
      <c r="R24">
        <v>936220</v>
      </c>
      <c r="S24">
        <v>-1367600</v>
      </c>
      <c r="T24">
        <v>-1.4607677682596001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255300849.5</v>
      </c>
      <c r="AL24">
        <v>936220</v>
      </c>
      <c r="AM24">
        <v>0</v>
      </c>
      <c r="AN24">
        <v>0</v>
      </c>
      <c r="AO24">
        <v>0</v>
      </c>
      <c r="AP24">
        <v>179100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10772656.619999999</v>
      </c>
      <c r="BH24">
        <v>39700</v>
      </c>
      <c r="BI24">
        <v>0</v>
      </c>
      <c r="BJ24">
        <v>0</v>
      </c>
      <c r="BK24">
        <v>1327900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14361218.559599999</v>
      </c>
      <c r="CH24">
        <v>1367600</v>
      </c>
      <c r="CI24">
        <v>272.33344262295083</v>
      </c>
      <c r="CJ24">
        <v>372443216.13114762</v>
      </c>
      <c r="CK24">
        <v>1367600</v>
      </c>
      <c r="CL24">
        <v>-372443216.13114762</v>
      </c>
      <c r="CM24">
        <v>-1367600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1593.89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277.75700000000001</v>
      </c>
      <c r="DI24">
        <v>277.75700000000001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277.75700000000001</v>
      </c>
      <c r="DW24">
        <v>0</v>
      </c>
      <c r="DX24">
        <v>277.75700000000001</v>
      </c>
    </row>
    <row r="25" spans="1:128" x14ac:dyDescent="0.35">
      <c r="A25" t="s">
        <v>197</v>
      </c>
      <c r="B25">
        <v>663020467</v>
      </c>
      <c r="C25" t="s">
        <v>435</v>
      </c>
      <c r="D25" t="s">
        <v>477</v>
      </c>
      <c r="E25" t="s">
        <v>467</v>
      </c>
      <c r="F25">
        <v>4424370</v>
      </c>
      <c r="G25">
        <v>63660</v>
      </c>
      <c r="H25">
        <v>743880</v>
      </c>
      <c r="I25">
        <v>0</v>
      </c>
      <c r="J25">
        <v>0</v>
      </c>
      <c r="K25">
        <v>0</v>
      </c>
      <c r="L25">
        <v>135729.57999999999</v>
      </c>
      <c r="M25">
        <v>17460</v>
      </c>
      <c r="N25">
        <v>209460</v>
      </c>
      <c r="O25">
        <v>4432710</v>
      </c>
      <c r="P25">
        <v>63780</v>
      </c>
      <c r="Q25">
        <v>744000</v>
      </c>
      <c r="R25">
        <v>744000</v>
      </c>
      <c r="S25">
        <v>534420</v>
      </c>
      <c r="T25">
        <v>0.71830645161289997</v>
      </c>
      <c r="U25">
        <v>0</v>
      </c>
      <c r="V25">
        <v>0</v>
      </c>
      <c r="W25">
        <v>4432710</v>
      </c>
      <c r="X25">
        <v>81060</v>
      </c>
      <c r="Y25">
        <v>0</v>
      </c>
      <c r="Z25">
        <v>0</v>
      </c>
      <c r="AA25">
        <v>8340</v>
      </c>
      <c r="AB25">
        <v>120</v>
      </c>
      <c r="AC25">
        <v>0</v>
      </c>
      <c r="AD25">
        <v>0</v>
      </c>
      <c r="AE25">
        <v>0</v>
      </c>
      <c r="AF25">
        <v>17280</v>
      </c>
      <c r="AG25">
        <v>0</v>
      </c>
      <c r="AH25">
        <v>0</v>
      </c>
      <c r="AI25">
        <v>0</v>
      </c>
      <c r="AJ25">
        <v>0</v>
      </c>
      <c r="AK25">
        <v>8340</v>
      </c>
      <c r="AL25">
        <v>120</v>
      </c>
      <c r="AM25">
        <v>0</v>
      </c>
      <c r="AN25">
        <v>0</v>
      </c>
      <c r="AO25">
        <v>0</v>
      </c>
      <c r="AP25">
        <v>233280</v>
      </c>
      <c r="AQ25">
        <v>0</v>
      </c>
      <c r="AR25">
        <v>0</v>
      </c>
      <c r="AS25">
        <v>4424370</v>
      </c>
      <c r="AT25">
        <v>63660</v>
      </c>
      <c r="AU25">
        <v>0</v>
      </c>
      <c r="AV25">
        <v>0</v>
      </c>
      <c r="AW25">
        <v>0</v>
      </c>
      <c r="AX25">
        <v>0</v>
      </c>
      <c r="AY25">
        <v>4424370</v>
      </c>
      <c r="AZ25">
        <v>63660</v>
      </c>
      <c r="BA25">
        <v>51699660</v>
      </c>
      <c r="BB25">
        <v>743880</v>
      </c>
      <c r="BC25">
        <v>0</v>
      </c>
      <c r="BD25">
        <v>0</v>
      </c>
      <c r="BE25">
        <v>1105050</v>
      </c>
      <c r="BF25">
        <v>15900</v>
      </c>
      <c r="BG25">
        <v>13444080</v>
      </c>
      <c r="BH25">
        <v>193440</v>
      </c>
      <c r="BI25">
        <v>108420</v>
      </c>
      <c r="BJ25">
        <v>1560</v>
      </c>
      <c r="BK25">
        <v>16260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1213470</v>
      </c>
      <c r="BU25">
        <v>17460</v>
      </c>
      <c r="BV25">
        <v>69.5</v>
      </c>
      <c r="BW25">
        <v>0.28190030650105002</v>
      </c>
      <c r="BX25">
        <v>1247231.2590740439</v>
      </c>
      <c r="BY25">
        <v>17945.773511856751</v>
      </c>
      <c r="BZ25">
        <v>3177138.7409259561</v>
      </c>
      <c r="CA25">
        <v>45714.226488143249</v>
      </c>
      <c r="CB25">
        <v>0</v>
      </c>
      <c r="CC25">
        <v>0</v>
      </c>
      <c r="CD25">
        <v>0</v>
      </c>
      <c r="CE25">
        <v>51699660</v>
      </c>
      <c r="CF25">
        <v>743880</v>
      </c>
      <c r="CG25">
        <v>14574150</v>
      </c>
      <c r="CH25">
        <v>209700</v>
      </c>
      <c r="CI25">
        <v>69.5</v>
      </c>
      <c r="CJ25">
        <v>14574150</v>
      </c>
      <c r="CK25">
        <v>209700</v>
      </c>
      <c r="CL25">
        <v>37125510</v>
      </c>
      <c r="CM25">
        <v>534180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0.97814163574769997</v>
      </c>
      <c r="CY25">
        <v>0</v>
      </c>
      <c r="CZ25">
        <v>0</v>
      </c>
      <c r="DA25">
        <v>0</v>
      </c>
      <c r="DB25">
        <v>0</v>
      </c>
      <c r="DC25">
        <v>63542.774818519123</v>
      </c>
      <c r="DD25">
        <v>3113595.966107436</v>
      </c>
      <c r="DE25">
        <v>45714.226488143249</v>
      </c>
      <c r="DF25">
        <v>68.11</v>
      </c>
      <c r="DG25">
        <v>45714.226000000002</v>
      </c>
      <c r="DH25">
        <v>69.5</v>
      </c>
      <c r="DI25">
        <v>68.11</v>
      </c>
      <c r="DJ25">
        <v>45714.226000000002</v>
      </c>
      <c r="DK25">
        <v>0</v>
      </c>
      <c r="DL25">
        <v>3113595.966107436</v>
      </c>
      <c r="DM25">
        <v>45714.226488143249</v>
      </c>
      <c r="DN25">
        <v>68.11</v>
      </c>
      <c r="DO25">
        <v>120636.1281786154</v>
      </c>
      <c r="DP25">
        <v>8216526.6902454961</v>
      </c>
      <c r="DQ25">
        <v>120636.1281786154</v>
      </c>
      <c r="DR25">
        <v>68.11</v>
      </c>
      <c r="DS25">
        <v>120636.1281786154</v>
      </c>
      <c r="DT25">
        <v>68.11</v>
      </c>
      <c r="DU25">
        <v>120636.1281786154</v>
      </c>
      <c r="DV25">
        <v>68.11</v>
      </c>
      <c r="DW25">
        <v>120636.128</v>
      </c>
      <c r="DX25">
        <v>69.5</v>
      </c>
    </row>
    <row r="26" spans="1:128" x14ac:dyDescent="0.35">
      <c r="A26" t="s">
        <v>212</v>
      </c>
      <c r="B26">
        <v>663020632</v>
      </c>
      <c r="C26" t="s">
        <v>436</v>
      </c>
      <c r="D26" t="s">
        <v>477</v>
      </c>
      <c r="E26" t="s">
        <v>466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484105.17</v>
      </c>
      <c r="M26">
        <v>30</v>
      </c>
      <c r="N26">
        <v>1841</v>
      </c>
      <c r="O26">
        <v>10352281.5</v>
      </c>
      <c r="P26">
        <v>450</v>
      </c>
      <c r="Q26">
        <v>5979</v>
      </c>
      <c r="R26">
        <v>0</v>
      </c>
      <c r="S26">
        <v>-1841</v>
      </c>
      <c r="T26">
        <v>-0.30791102191002001</v>
      </c>
      <c r="U26">
        <v>0</v>
      </c>
      <c r="V26">
        <v>0</v>
      </c>
      <c r="W26">
        <v>10352281.5</v>
      </c>
      <c r="X26">
        <v>470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970</v>
      </c>
      <c r="AQ26">
        <v>0</v>
      </c>
      <c r="AR26">
        <v>0</v>
      </c>
      <c r="AS26">
        <v>10352281.5</v>
      </c>
      <c r="AT26">
        <v>450</v>
      </c>
      <c r="AU26">
        <v>0</v>
      </c>
      <c r="AV26">
        <v>0</v>
      </c>
      <c r="AW26">
        <v>0</v>
      </c>
      <c r="AX26">
        <v>0</v>
      </c>
      <c r="AY26">
        <v>10352281.5</v>
      </c>
      <c r="AZ26">
        <v>450</v>
      </c>
      <c r="BA26">
        <v>134883843.59999999</v>
      </c>
      <c r="BB26">
        <v>5979</v>
      </c>
      <c r="BC26">
        <v>0</v>
      </c>
      <c r="BD26">
        <v>0</v>
      </c>
      <c r="BE26">
        <v>529116.61</v>
      </c>
      <c r="BF26">
        <v>23</v>
      </c>
      <c r="BG26">
        <v>6426419.5599999996</v>
      </c>
      <c r="BH26">
        <v>285</v>
      </c>
      <c r="BI26">
        <v>161035.49</v>
      </c>
      <c r="BJ26">
        <v>7</v>
      </c>
      <c r="BK26">
        <v>1556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690152.1</v>
      </c>
      <c r="BU26">
        <v>30</v>
      </c>
      <c r="BV26">
        <v>23005.07</v>
      </c>
      <c r="BW26">
        <v>0.30791102191002001</v>
      </c>
      <c r="BX26">
        <v>3187581.5757651781</v>
      </c>
      <c r="BY26">
        <v>138.5599598595083</v>
      </c>
      <c r="BZ26">
        <v>7164699.9242348215</v>
      </c>
      <c r="CA26">
        <v>311.4400401404917</v>
      </c>
      <c r="CB26">
        <v>0</v>
      </c>
      <c r="CC26">
        <v>0</v>
      </c>
      <c r="CD26">
        <v>0</v>
      </c>
      <c r="CE26">
        <v>134883843.59999999</v>
      </c>
      <c r="CF26">
        <v>5979</v>
      </c>
      <c r="CG26">
        <v>8948773.0493250005</v>
      </c>
      <c r="CH26">
        <v>1841</v>
      </c>
      <c r="CI26">
        <v>22555.856147540981</v>
      </c>
      <c r="CJ26">
        <v>41525331.167622954</v>
      </c>
      <c r="CK26">
        <v>1841</v>
      </c>
      <c r="CL26">
        <v>93358512.432377055</v>
      </c>
      <c r="CM26">
        <v>4138</v>
      </c>
      <c r="CN26">
        <v>0</v>
      </c>
      <c r="CO26">
        <v>0</v>
      </c>
      <c r="CP26">
        <v>0</v>
      </c>
      <c r="CQ26">
        <v>0</v>
      </c>
      <c r="CR26">
        <v>408775.61466600001</v>
      </c>
      <c r="CS26">
        <v>6431</v>
      </c>
      <c r="CT26">
        <v>138591.18265</v>
      </c>
      <c r="CU26">
        <v>4242</v>
      </c>
      <c r="CV26">
        <v>1535817.1259000001</v>
      </c>
      <c r="CW26">
        <v>2149137.6685589999</v>
      </c>
      <c r="CX26">
        <v>0.7397558120087</v>
      </c>
      <c r="CY26">
        <v>2725966.7261903589</v>
      </c>
      <c r="CZ26">
        <v>2725966.7261903589</v>
      </c>
      <c r="DA26">
        <v>2.919890918533E-2</v>
      </c>
      <c r="DB26">
        <v>209201.4224278641</v>
      </c>
      <c r="DC26">
        <v>143293.99848469641</v>
      </c>
      <c r="DD26">
        <v>6812204.5033222614</v>
      </c>
      <c r="DE26">
        <v>311.4400401404917</v>
      </c>
      <c r="DF26">
        <v>21873.245650000001</v>
      </c>
      <c r="DG26">
        <v>311.44</v>
      </c>
      <c r="DH26">
        <v>23005.07</v>
      </c>
      <c r="DI26">
        <v>21873.245650000001</v>
      </c>
      <c r="DJ26">
        <v>311.44</v>
      </c>
      <c r="DK26">
        <v>0</v>
      </c>
      <c r="DL26">
        <v>6812204.5033222614</v>
      </c>
      <c r="DM26">
        <v>311.4400401404917</v>
      </c>
      <c r="DN26">
        <v>21946.221394115892</v>
      </c>
      <c r="DO26">
        <v>1088.3201661276839</v>
      </c>
      <c r="DP26">
        <v>23884515.31351915</v>
      </c>
      <c r="DQ26">
        <v>1088.3201661276839</v>
      </c>
      <c r="DR26">
        <v>21946.221394115892</v>
      </c>
      <c r="DS26">
        <v>1088.3201661276839</v>
      </c>
      <c r="DT26">
        <v>21946.221394115892</v>
      </c>
      <c r="DU26">
        <v>1088.3201661276839</v>
      </c>
      <c r="DV26">
        <v>21946.221394</v>
      </c>
      <c r="DW26">
        <v>1088.32</v>
      </c>
      <c r="DX26">
        <v>23005.07</v>
      </c>
    </row>
    <row r="27" spans="1:128" x14ac:dyDescent="0.35">
      <c r="A27" t="s">
        <v>216</v>
      </c>
      <c r="B27">
        <v>663020648</v>
      </c>
      <c r="C27" t="s">
        <v>437</v>
      </c>
      <c r="D27" t="s">
        <v>477</v>
      </c>
      <c r="E27" t="s">
        <v>466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1091033.1200000001</v>
      </c>
      <c r="M27">
        <v>68</v>
      </c>
      <c r="N27">
        <v>5118</v>
      </c>
      <c r="O27">
        <v>22314917.899999999</v>
      </c>
      <c r="P27">
        <v>970</v>
      </c>
      <c r="Q27">
        <v>12100</v>
      </c>
      <c r="R27">
        <v>0</v>
      </c>
      <c r="S27">
        <v>-5118</v>
      </c>
      <c r="T27">
        <v>-0.42297520661157001</v>
      </c>
      <c r="U27">
        <v>0</v>
      </c>
      <c r="V27">
        <v>0</v>
      </c>
      <c r="W27">
        <v>22314917.899999999</v>
      </c>
      <c r="X27">
        <v>1020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2130</v>
      </c>
      <c r="AQ27">
        <v>0</v>
      </c>
      <c r="AR27">
        <v>0</v>
      </c>
      <c r="AS27">
        <v>22314917.899999999</v>
      </c>
      <c r="AT27">
        <v>970</v>
      </c>
      <c r="AU27">
        <v>0</v>
      </c>
      <c r="AV27">
        <v>0</v>
      </c>
      <c r="AW27">
        <v>0</v>
      </c>
      <c r="AX27">
        <v>0</v>
      </c>
      <c r="AY27">
        <v>22314917.899999999</v>
      </c>
      <c r="AZ27">
        <v>970</v>
      </c>
      <c r="BA27">
        <v>272859446.19999999</v>
      </c>
      <c r="BB27">
        <v>12100</v>
      </c>
      <c r="BC27">
        <v>0</v>
      </c>
      <c r="BD27">
        <v>0</v>
      </c>
      <c r="BE27">
        <v>920202.8</v>
      </c>
      <c r="BF27">
        <v>40</v>
      </c>
      <c r="BG27">
        <v>11156275.57</v>
      </c>
      <c r="BH27">
        <v>497</v>
      </c>
      <c r="BI27">
        <v>644141.96</v>
      </c>
      <c r="BJ27">
        <v>28</v>
      </c>
      <c r="BK27">
        <v>4621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1564344.76</v>
      </c>
      <c r="BU27">
        <v>68</v>
      </c>
      <c r="BV27">
        <v>23005.07</v>
      </c>
      <c r="BW27">
        <v>0.42297520661157001</v>
      </c>
      <c r="BX27">
        <v>9438657.0092727281</v>
      </c>
      <c r="BY27">
        <v>410.28595041322308</v>
      </c>
      <c r="BZ27">
        <v>12876260.89072727</v>
      </c>
      <c r="CA27">
        <v>559.71404958677681</v>
      </c>
      <c r="CB27">
        <v>0</v>
      </c>
      <c r="CC27">
        <v>0</v>
      </c>
      <c r="CD27">
        <v>0</v>
      </c>
      <c r="CE27">
        <v>272859446.19999999</v>
      </c>
      <c r="CF27">
        <v>12100</v>
      </c>
      <c r="CG27">
        <v>17700125.594354998</v>
      </c>
      <c r="CH27">
        <v>5118</v>
      </c>
      <c r="CI27">
        <v>22555.856147540981</v>
      </c>
      <c r="CJ27">
        <v>115440871.7631148</v>
      </c>
      <c r="CK27">
        <v>5118</v>
      </c>
      <c r="CL27">
        <v>157418574.43688521</v>
      </c>
      <c r="CM27">
        <v>6982</v>
      </c>
      <c r="CN27">
        <v>0</v>
      </c>
      <c r="CO27">
        <v>0</v>
      </c>
      <c r="CP27">
        <v>0</v>
      </c>
      <c r="CQ27">
        <v>0</v>
      </c>
      <c r="CR27">
        <v>919833.67388200003</v>
      </c>
      <c r="CS27">
        <v>14012</v>
      </c>
      <c r="CT27">
        <v>300802.502041</v>
      </c>
      <c r="CU27">
        <v>8748</v>
      </c>
      <c r="CV27">
        <v>3147373.4312610002</v>
      </c>
      <c r="CW27">
        <v>4539573.3929169998</v>
      </c>
      <c r="CX27">
        <v>0.61809917355372002</v>
      </c>
      <c r="CY27">
        <v>4751295.479175807</v>
      </c>
      <c r="CZ27">
        <v>4751295.479175807</v>
      </c>
      <c r="DA27">
        <v>3.018255943539E-2</v>
      </c>
      <c r="DB27">
        <v>388638.5096399762</v>
      </c>
      <c r="DC27">
        <v>257525.2178145455</v>
      </c>
      <c r="DD27">
        <v>12230097.16327275</v>
      </c>
      <c r="DE27">
        <v>559.71404958677681</v>
      </c>
      <c r="DF27">
        <v>21850.616707000001</v>
      </c>
      <c r="DG27">
        <v>559.71400000000006</v>
      </c>
      <c r="DH27">
        <v>23005.07</v>
      </c>
      <c r="DI27">
        <v>21850.616707000001</v>
      </c>
      <c r="DJ27">
        <v>559.71400000000006</v>
      </c>
      <c r="DK27">
        <v>0</v>
      </c>
      <c r="DL27">
        <v>12230097.16327275</v>
      </c>
      <c r="DM27">
        <v>559.71404958677681</v>
      </c>
      <c r="DN27">
        <v>21912.323201490501</v>
      </c>
      <c r="DO27">
        <v>1750.607674633929</v>
      </c>
      <c r="DP27">
        <v>38359881.165588379</v>
      </c>
      <c r="DQ27">
        <v>1750.607674633929</v>
      </c>
      <c r="DR27">
        <v>21912.323201490501</v>
      </c>
      <c r="DS27">
        <v>1750.607674633929</v>
      </c>
      <c r="DT27">
        <v>21912.323201490501</v>
      </c>
      <c r="DU27">
        <v>1750.607674633929</v>
      </c>
      <c r="DV27">
        <v>21912.323200999999</v>
      </c>
      <c r="DW27">
        <v>1750.6079999999999</v>
      </c>
      <c r="DX27">
        <v>23005.07</v>
      </c>
    </row>
    <row r="28" spans="1:128" x14ac:dyDescent="0.35">
      <c r="A28" t="s">
        <v>220</v>
      </c>
      <c r="B28">
        <v>663020664</v>
      </c>
      <c r="C28" t="s">
        <v>438</v>
      </c>
      <c r="D28" t="s">
        <v>477</v>
      </c>
      <c r="E28" t="s">
        <v>466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1432798.9</v>
      </c>
      <c r="M28">
        <v>89</v>
      </c>
      <c r="N28">
        <v>1415</v>
      </c>
      <c r="O28">
        <v>43019480.899999999</v>
      </c>
      <c r="P28">
        <v>1870</v>
      </c>
      <c r="Q28">
        <v>21080</v>
      </c>
      <c r="R28">
        <v>0</v>
      </c>
      <c r="S28">
        <v>-1415</v>
      </c>
      <c r="T28">
        <v>-6.7125237191650006E-2</v>
      </c>
      <c r="U28">
        <v>0</v>
      </c>
      <c r="V28">
        <v>0</v>
      </c>
      <c r="W28">
        <v>43019480.899999999</v>
      </c>
      <c r="X28">
        <v>1990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120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3971</v>
      </c>
      <c r="AQ28">
        <v>0</v>
      </c>
      <c r="AR28">
        <v>0</v>
      </c>
      <c r="AS28">
        <v>43019480.899999999</v>
      </c>
      <c r="AT28">
        <v>1870</v>
      </c>
      <c r="AU28">
        <v>0</v>
      </c>
      <c r="AV28">
        <v>0</v>
      </c>
      <c r="AW28">
        <v>0</v>
      </c>
      <c r="AX28">
        <v>0</v>
      </c>
      <c r="AY28">
        <v>43019480.899999999</v>
      </c>
      <c r="AZ28">
        <v>1870</v>
      </c>
      <c r="BA28">
        <v>476414631</v>
      </c>
      <c r="BB28">
        <v>21080</v>
      </c>
      <c r="BC28">
        <v>0</v>
      </c>
      <c r="BD28">
        <v>0</v>
      </c>
      <c r="BE28">
        <v>897197.73</v>
      </c>
      <c r="BF28">
        <v>39</v>
      </c>
      <c r="BG28">
        <v>13073218.51</v>
      </c>
      <c r="BH28">
        <v>580</v>
      </c>
      <c r="BI28">
        <v>1150253.5</v>
      </c>
      <c r="BJ28">
        <v>50</v>
      </c>
      <c r="BK28">
        <v>835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2047451.23</v>
      </c>
      <c r="BU28">
        <v>89</v>
      </c>
      <c r="BV28">
        <v>23005.07</v>
      </c>
      <c r="BW28">
        <v>6.7125237191650006E-2</v>
      </c>
      <c r="BX28">
        <v>2887692.8592741941</v>
      </c>
      <c r="BY28">
        <v>125.5241935483871</v>
      </c>
      <c r="BZ28">
        <v>40131788.040725797</v>
      </c>
      <c r="CA28">
        <v>1744.4758064516129</v>
      </c>
      <c r="CB28">
        <v>0</v>
      </c>
      <c r="CC28">
        <v>0</v>
      </c>
      <c r="CD28">
        <v>0</v>
      </c>
      <c r="CE28">
        <v>476414631</v>
      </c>
      <c r="CF28">
        <v>21080</v>
      </c>
      <c r="CG28">
        <v>24336023.170940001</v>
      </c>
      <c r="CH28">
        <v>1415</v>
      </c>
      <c r="CI28">
        <v>22555.856147540981</v>
      </c>
      <c r="CJ28">
        <v>31916536.44877049</v>
      </c>
      <c r="CK28">
        <v>1415</v>
      </c>
      <c r="CL28">
        <v>444498094.55122948</v>
      </c>
      <c r="CM28">
        <v>19665</v>
      </c>
      <c r="CN28">
        <v>0</v>
      </c>
      <c r="CO28">
        <v>0</v>
      </c>
      <c r="CP28">
        <v>0</v>
      </c>
      <c r="CQ28">
        <v>0</v>
      </c>
      <c r="CR28">
        <v>2337309.9634190002</v>
      </c>
      <c r="CS28">
        <v>37237</v>
      </c>
      <c r="CT28">
        <v>574647.423954</v>
      </c>
      <c r="CU28">
        <v>21246</v>
      </c>
      <c r="CV28">
        <v>5652983.2336649997</v>
      </c>
      <c r="CW28">
        <v>9193874.0297720004</v>
      </c>
      <c r="CX28">
        <v>0.96038899430739999</v>
      </c>
      <c r="CY28">
        <v>14258758.315857779</v>
      </c>
      <c r="CZ28">
        <v>14258758.315857779</v>
      </c>
      <c r="DA28">
        <v>3.2078333947089997E-2</v>
      </c>
      <c r="DB28">
        <v>1287360.898664078</v>
      </c>
      <c r="DC28">
        <v>802635.76081451611</v>
      </c>
      <c r="DD28">
        <v>38041791.381247208</v>
      </c>
      <c r="DE28">
        <v>1744.4758064516129</v>
      </c>
      <c r="DF28">
        <v>21807.004282000002</v>
      </c>
      <c r="DG28">
        <v>1744.4760000000001</v>
      </c>
      <c r="DH28">
        <v>23005.07</v>
      </c>
      <c r="DI28">
        <v>21807.004282000002</v>
      </c>
      <c r="DJ28">
        <v>1744.4760000000001</v>
      </c>
      <c r="DK28">
        <v>0</v>
      </c>
      <c r="DL28">
        <v>38041791.381247208</v>
      </c>
      <c r="DM28">
        <v>1744.4758064516129</v>
      </c>
      <c r="DN28">
        <v>21904.94138789277</v>
      </c>
      <c r="DO28">
        <v>5661.620550024596</v>
      </c>
      <c r="DP28">
        <v>124017466.308778</v>
      </c>
      <c r="DQ28">
        <v>5661.620550024596</v>
      </c>
      <c r="DR28">
        <v>21904.94138789277</v>
      </c>
      <c r="DS28">
        <v>5661.620550024596</v>
      </c>
      <c r="DT28">
        <v>21904.94138789277</v>
      </c>
      <c r="DU28">
        <v>5661.620550024596</v>
      </c>
      <c r="DV28">
        <v>21904.941387999999</v>
      </c>
      <c r="DW28">
        <v>5661.6210000000001</v>
      </c>
      <c r="DX28">
        <v>23005.07</v>
      </c>
    </row>
    <row r="29" spans="1:128" x14ac:dyDescent="0.35">
      <c r="A29" t="s">
        <v>211</v>
      </c>
      <c r="B29">
        <v>663020632</v>
      </c>
      <c r="C29" t="s">
        <v>439</v>
      </c>
      <c r="D29" t="s">
        <v>477</v>
      </c>
      <c r="E29" t="s">
        <v>466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1841</v>
      </c>
      <c r="O29">
        <v>0</v>
      </c>
      <c r="P29">
        <v>0</v>
      </c>
      <c r="Q29">
        <v>5979</v>
      </c>
      <c r="R29">
        <v>0</v>
      </c>
      <c r="S29">
        <v>-1841</v>
      </c>
      <c r="T29">
        <v>-0.30791102191002001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970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134883843.59999999</v>
      </c>
      <c r="BB29">
        <v>5979</v>
      </c>
      <c r="BC29">
        <v>0</v>
      </c>
      <c r="BD29">
        <v>0</v>
      </c>
      <c r="BE29">
        <v>0</v>
      </c>
      <c r="BF29">
        <v>0</v>
      </c>
      <c r="BG29">
        <v>6426419.5599999996</v>
      </c>
      <c r="BH29">
        <v>285</v>
      </c>
      <c r="BI29">
        <v>0</v>
      </c>
      <c r="BJ29">
        <v>0</v>
      </c>
      <c r="BK29">
        <v>1556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0.30791102191002001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134883843.59999999</v>
      </c>
      <c r="CF29">
        <v>5979</v>
      </c>
      <c r="CG29">
        <v>8948773.0493250005</v>
      </c>
      <c r="CH29">
        <v>1841</v>
      </c>
      <c r="CI29">
        <v>0</v>
      </c>
      <c r="CJ29">
        <v>0</v>
      </c>
      <c r="CK29">
        <v>1841</v>
      </c>
      <c r="CL29">
        <v>134883843.59999999</v>
      </c>
      <c r="CM29">
        <v>4138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1535817.1259000001</v>
      </c>
      <c r="CW29">
        <v>2149137.6685589999</v>
      </c>
      <c r="CX29">
        <v>0.7397558120087</v>
      </c>
      <c r="CY29">
        <v>2725966.7261903589</v>
      </c>
      <c r="CZ29">
        <v>2725966.7261903589</v>
      </c>
      <c r="DA29">
        <v>2.0209734935149999E-2</v>
      </c>
      <c r="DB29">
        <v>0</v>
      </c>
      <c r="DC29">
        <v>0</v>
      </c>
      <c r="DD29">
        <v>0</v>
      </c>
      <c r="DE29">
        <v>0</v>
      </c>
      <c r="DF29">
        <v>21873.245650000001</v>
      </c>
      <c r="DG29">
        <v>311.44</v>
      </c>
      <c r="DH29">
        <v>0</v>
      </c>
      <c r="DI29">
        <v>21873.245650000001</v>
      </c>
      <c r="DJ29">
        <v>311.44</v>
      </c>
      <c r="DK29">
        <v>1</v>
      </c>
      <c r="DL29">
        <v>6812204.5033222614</v>
      </c>
      <c r="DM29">
        <v>311.4400401404917</v>
      </c>
      <c r="DN29">
        <v>21946.221394115892</v>
      </c>
      <c r="DO29">
        <v>1088.3201661276839</v>
      </c>
      <c r="DP29">
        <v>23884515.31351915</v>
      </c>
      <c r="DQ29">
        <v>1088.3201661276839</v>
      </c>
      <c r="DR29">
        <v>21946.221394115892</v>
      </c>
      <c r="DS29">
        <v>1088.3201661276839</v>
      </c>
      <c r="DT29">
        <v>21946.221394115892</v>
      </c>
      <c r="DU29">
        <v>1088.3201661276839</v>
      </c>
      <c r="DV29">
        <v>21946.221394</v>
      </c>
      <c r="DW29">
        <v>1088.32</v>
      </c>
      <c r="DX29">
        <v>0</v>
      </c>
    </row>
    <row r="30" spans="1:128" x14ac:dyDescent="0.35">
      <c r="A30" t="s">
        <v>215</v>
      </c>
      <c r="B30">
        <v>663020648</v>
      </c>
      <c r="C30" t="s">
        <v>440</v>
      </c>
      <c r="D30" t="s">
        <v>477</v>
      </c>
      <c r="E30" t="s">
        <v>466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5118</v>
      </c>
      <c r="O30">
        <v>0</v>
      </c>
      <c r="P30">
        <v>0</v>
      </c>
      <c r="Q30">
        <v>12100</v>
      </c>
      <c r="R30">
        <v>0</v>
      </c>
      <c r="S30">
        <v>-5118</v>
      </c>
      <c r="T30">
        <v>-0.42297520661157001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2130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272859446.19999999</v>
      </c>
      <c r="BB30">
        <v>12100</v>
      </c>
      <c r="BC30">
        <v>0</v>
      </c>
      <c r="BD30">
        <v>0</v>
      </c>
      <c r="BE30">
        <v>0</v>
      </c>
      <c r="BF30">
        <v>0</v>
      </c>
      <c r="BG30">
        <v>11156275.57</v>
      </c>
      <c r="BH30">
        <v>497</v>
      </c>
      <c r="BI30">
        <v>0</v>
      </c>
      <c r="BJ30">
        <v>0</v>
      </c>
      <c r="BK30">
        <v>4621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0.42297520661157001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272859446.19999999</v>
      </c>
      <c r="CF30">
        <v>12100</v>
      </c>
      <c r="CG30">
        <v>17700125.594354998</v>
      </c>
      <c r="CH30">
        <v>5118</v>
      </c>
      <c r="CI30">
        <v>0</v>
      </c>
      <c r="CJ30">
        <v>0</v>
      </c>
      <c r="CK30">
        <v>5118</v>
      </c>
      <c r="CL30">
        <v>272859446.19999999</v>
      </c>
      <c r="CM30">
        <v>6982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3147373.4312610002</v>
      </c>
      <c r="CW30">
        <v>4539573.3929169998</v>
      </c>
      <c r="CX30">
        <v>0.61809917355372002</v>
      </c>
      <c r="CY30">
        <v>4751295.479175807</v>
      </c>
      <c r="CZ30">
        <v>4751295.479175807</v>
      </c>
      <c r="DA30">
        <v>1.7412977799909999E-2</v>
      </c>
      <c r="DB30">
        <v>0</v>
      </c>
      <c r="DC30">
        <v>0</v>
      </c>
      <c r="DD30">
        <v>0</v>
      </c>
      <c r="DE30">
        <v>0</v>
      </c>
      <c r="DF30">
        <v>21850.616707000001</v>
      </c>
      <c r="DG30">
        <v>559.71400000000006</v>
      </c>
      <c r="DH30">
        <v>0</v>
      </c>
      <c r="DI30">
        <v>21850.616707000001</v>
      </c>
      <c r="DJ30">
        <v>559.71400000000006</v>
      </c>
      <c r="DK30">
        <v>1</v>
      </c>
      <c r="DL30">
        <v>12230097.16327275</v>
      </c>
      <c r="DM30">
        <v>559.71404958677681</v>
      </c>
      <c r="DN30">
        <v>21912.323201490501</v>
      </c>
      <c r="DO30">
        <v>1750.607674633929</v>
      </c>
      <c r="DP30">
        <v>38359881.165588379</v>
      </c>
      <c r="DQ30">
        <v>1750.607674633929</v>
      </c>
      <c r="DR30">
        <v>21912.323201490501</v>
      </c>
      <c r="DS30">
        <v>1750.607674633929</v>
      </c>
      <c r="DT30">
        <v>21912.323201490501</v>
      </c>
      <c r="DU30">
        <v>1750.607674633929</v>
      </c>
      <c r="DV30">
        <v>21912.323200999999</v>
      </c>
      <c r="DW30">
        <v>1750.6079999999999</v>
      </c>
      <c r="DX30">
        <v>0</v>
      </c>
    </row>
    <row r="31" spans="1:128" x14ac:dyDescent="0.35">
      <c r="A31" t="s">
        <v>219</v>
      </c>
      <c r="B31">
        <v>663020664</v>
      </c>
      <c r="C31" t="s">
        <v>441</v>
      </c>
      <c r="D31" t="s">
        <v>477</v>
      </c>
      <c r="E31" t="s">
        <v>466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1415</v>
      </c>
      <c r="O31">
        <v>0</v>
      </c>
      <c r="P31">
        <v>0</v>
      </c>
      <c r="Q31">
        <v>21080</v>
      </c>
      <c r="R31">
        <v>0</v>
      </c>
      <c r="S31">
        <v>-1415</v>
      </c>
      <c r="T31">
        <v>-6.7125237191650006E-2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3971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476414631</v>
      </c>
      <c r="BB31">
        <v>21080</v>
      </c>
      <c r="BC31">
        <v>0</v>
      </c>
      <c r="BD31">
        <v>0</v>
      </c>
      <c r="BE31">
        <v>0</v>
      </c>
      <c r="BF31">
        <v>0</v>
      </c>
      <c r="BG31">
        <v>13073218.51</v>
      </c>
      <c r="BH31">
        <v>580</v>
      </c>
      <c r="BI31">
        <v>0</v>
      </c>
      <c r="BJ31">
        <v>0</v>
      </c>
      <c r="BK31">
        <v>835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6.7125237191650006E-2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476414631</v>
      </c>
      <c r="CF31">
        <v>21080</v>
      </c>
      <c r="CG31">
        <v>24336023.170940001</v>
      </c>
      <c r="CH31">
        <v>1415</v>
      </c>
      <c r="CI31">
        <v>0</v>
      </c>
      <c r="CJ31">
        <v>0</v>
      </c>
      <c r="CK31">
        <v>1415</v>
      </c>
      <c r="CL31">
        <v>476414631</v>
      </c>
      <c r="CM31">
        <v>19665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5652983.2336649997</v>
      </c>
      <c r="CW31">
        <v>9193874.0297720004</v>
      </c>
      <c r="CX31">
        <v>0.96038899430739999</v>
      </c>
      <c r="CY31">
        <v>14258758.315857779</v>
      </c>
      <c r="CZ31">
        <v>14258758.315857779</v>
      </c>
      <c r="DA31">
        <v>2.9929303988689999E-2</v>
      </c>
      <c r="DB31">
        <v>0</v>
      </c>
      <c r="DC31">
        <v>0</v>
      </c>
      <c r="DD31">
        <v>0</v>
      </c>
      <c r="DE31">
        <v>0</v>
      </c>
      <c r="DF31">
        <v>21807.004282000002</v>
      </c>
      <c r="DG31">
        <v>1744.4760000000001</v>
      </c>
      <c r="DH31">
        <v>0</v>
      </c>
      <c r="DI31">
        <v>21807.004282000002</v>
      </c>
      <c r="DJ31">
        <v>1744.4760000000001</v>
      </c>
      <c r="DK31">
        <v>1</v>
      </c>
      <c r="DL31">
        <v>38041791.381247208</v>
      </c>
      <c r="DM31">
        <v>1744.4758064516129</v>
      </c>
      <c r="DN31">
        <v>21904.94138789277</v>
      </c>
      <c r="DO31">
        <v>5661.620550024596</v>
      </c>
      <c r="DP31">
        <v>124017466.308778</v>
      </c>
      <c r="DQ31">
        <v>5661.620550024596</v>
      </c>
      <c r="DR31">
        <v>21904.94138789277</v>
      </c>
      <c r="DS31">
        <v>5661.620550024596</v>
      </c>
      <c r="DT31">
        <v>21904.94138789277</v>
      </c>
      <c r="DU31">
        <v>5661.620550024596</v>
      </c>
      <c r="DV31">
        <v>21904.941387999999</v>
      </c>
      <c r="DW31">
        <v>5661.6210000000001</v>
      </c>
      <c r="DX31">
        <v>0</v>
      </c>
    </row>
    <row r="32" spans="1:128" x14ac:dyDescent="0.35">
      <c r="A32" t="s">
        <v>201</v>
      </c>
      <c r="B32">
        <v>663020600</v>
      </c>
      <c r="C32" t="s">
        <v>442</v>
      </c>
      <c r="D32" t="s">
        <v>477</v>
      </c>
      <c r="E32" t="s">
        <v>466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-1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21930.48</v>
      </c>
      <c r="CH32">
        <v>1</v>
      </c>
      <c r="CI32">
        <v>22555.856147540981</v>
      </c>
      <c r="CJ32">
        <v>22555.856147540981</v>
      </c>
      <c r="CK32">
        <v>1</v>
      </c>
      <c r="CL32">
        <v>-22555.856147540981</v>
      </c>
      <c r="CM32">
        <v>-1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2083.3964000000001</v>
      </c>
      <c r="CW32">
        <v>1699.6143999999999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23005.07</v>
      </c>
      <c r="DI32">
        <v>20487.968199999999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20487.968199999999</v>
      </c>
      <c r="DW32">
        <v>0</v>
      </c>
      <c r="DX32">
        <v>23005.07</v>
      </c>
    </row>
    <row r="33" spans="1:128" x14ac:dyDescent="0.35">
      <c r="A33" t="s">
        <v>203</v>
      </c>
      <c r="B33">
        <v>663020610</v>
      </c>
      <c r="C33" t="s">
        <v>443</v>
      </c>
      <c r="D33" t="s">
        <v>477</v>
      </c>
      <c r="E33" t="s">
        <v>466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112757.57</v>
      </c>
      <c r="M33">
        <v>7</v>
      </c>
      <c r="N33">
        <v>414</v>
      </c>
      <c r="O33">
        <v>7361622.4000000004</v>
      </c>
      <c r="P33">
        <v>320</v>
      </c>
      <c r="Q33">
        <v>4090</v>
      </c>
      <c r="R33">
        <v>0</v>
      </c>
      <c r="S33">
        <v>-414</v>
      </c>
      <c r="T33">
        <v>-0.10122249388753</v>
      </c>
      <c r="U33">
        <v>0</v>
      </c>
      <c r="V33">
        <v>0</v>
      </c>
      <c r="W33">
        <v>7361622.4000000004</v>
      </c>
      <c r="X33">
        <v>330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468</v>
      </c>
      <c r="AQ33">
        <v>0</v>
      </c>
      <c r="AR33">
        <v>0</v>
      </c>
      <c r="AS33">
        <v>7361622.4000000004</v>
      </c>
      <c r="AT33">
        <v>320</v>
      </c>
      <c r="AU33">
        <v>0</v>
      </c>
      <c r="AV33">
        <v>0</v>
      </c>
      <c r="AW33">
        <v>0</v>
      </c>
      <c r="AX33">
        <v>0</v>
      </c>
      <c r="AY33">
        <v>7361622.4000000004</v>
      </c>
      <c r="AZ33">
        <v>320</v>
      </c>
      <c r="BA33">
        <v>92425121.799999997</v>
      </c>
      <c r="BB33">
        <v>4090</v>
      </c>
      <c r="BC33">
        <v>0</v>
      </c>
      <c r="BD33">
        <v>0</v>
      </c>
      <c r="BE33">
        <v>92020.28</v>
      </c>
      <c r="BF33">
        <v>4</v>
      </c>
      <c r="BG33">
        <v>2187433.6</v>
      </c>
      <c r="BH33">
        <v>97</v>
      </c>
      <c r="BI33">
        <v>69015.210000000006</v>
      </c>
      <c r="BJ33">
        <v>3</v>
      </c>
      <c r="BK33">
        <v>318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161035.49</v>
      </c>
      <c r="BU33">
        <v>7</v>
      </c>
      <c r="BV33">
        <v>23005.07</v>
      </c>
      <c r="BW33">
        <v>0.10146699266504</v>
      </c>
      <c r="BX33">
        <v>746961.68606356974</v>
      </c>
      <c r="BY33">
        <v>32.469437652811742</v>
      </c>
      <c r="BZ33">
        <v>6614660.7139364304</v>
      </c>
      <c r="CA33">
        <v>287.53056234718832</v>
      </c>
      <c r="CB33">
        <v>0</v>
      </c>
      <c r="CC33">
        <v>0</v>
      </c>
      <c r="CD33">
        <v>0</v>
      </c>
      <c r="CE33">
        <v>92425121.799999997</v>
      </c>
      <c r="CF33">
        <v>4090</v>
      </c>
      <c r="CG33">
        <v>3693312.8772</v>
      </c>
      <c r="CH33">
        <v>415</v>
      </c>
      <c r="CI33">
        <v>22555.856147540981</v>
      </c>
      <c r="CJ33">
        <v>9360680.3012295086</v>
      </c>
      <c r="CK33">
        <v>415</v>
      </c>
      <c r="CL33">
        <v>83064441.49877049</v>
      </c>
      <c r="CM33">
        <v>3675</v>
      </c>
      <c r="CN33">
        <v>0</v>
      </c>
      <c r="CO33">
        <v>0</v>
      </c>
      <c r="CP33">
        <v>0</v>
      </c>
      <c r="CQ33">
        <v>0</v>
      </c>
      <c r="CR33">
        <v>275097.731593</v>
      </c>
      <c r="CS33">
        <v>10020</v>
      </c>
      <c r="CT33">
        <v>112627.57987</v>
      </c>
      <c r="CU33">
        <v>6732</v>
      </c>
      <c r="CV33">
        <v>1000966.29496</v>
      </c>
      <c r="CW33">
        <v>1561163.1214640001</v>
      </c>
      <c r="CX33">
        <v>0.92224938875305995</v>
      </c>
      <c r="CY33">
        <v>2362922.288203259</v>
      </c>
      <c r="CZ33">
        <v>2362922.288203259</v>
      </c>
      <c r="DA33">
        <v>2.8446856989199999E-2</v>
      </c>
      <c r="DB33">
        <v>188166.30736142641</v>
      </c>
      <c r="DC33">
        <v>132293.21427872861</v>
      </c>
      <c r="DD33">
        <v>6294201.1922962749</v>
      </c>
      <c r="DE33">
        <v>287.53056234718832</v>
      </c>
      <c r="DF33">
        <v>21890.546664000001</v>
      </c>
      <c r="DG33">
        <v>287.53100000000001</v>
      </c>
      <c r="DH33">
        <v>23005.07</v>
      </c>
      <c r="DI33">
        <v>21890.546664000001</v>
      </c>
      <c r="DJ33">
        <v>287.53100000000001</v>
      </c>
      <c r="DK33">
        <v>0</v>
      </c>
      <c r="DL33">
        <v>6294201.1922962749</v>
      </c>
      <c r="DM33">
        <v>287.53056234718832</v>
      </c>
      <c r="DN33">
        <v>21933.108211842711</v>
      </c>
      <c r="DO33">
        <v>1106.9699795080689</v>
      </c>
      <c r="DP33">
        <v>24279292.347811781</v>
      </c>
      <c r="DQ33">
        <v>1106.9699795080689</v>
      </c>
      <c r="DR33">
        <v>21933.108211842711</v>
      </c>
      <c r="DS33">
        <v>1106.9699795080689</v>
      </c>
      <c r="DT33">
        <v>21933.108211842711</v>
      </c>
      <c r="DU33">
        <v>1106.9699795080689</v>
      </c>
      <c r="DV33">
        <v>21933.108211999999</v>
      </c>
      <c r="DW33">
        <v>1106.97</v>
      </c>
      <c r="DX33">
        <v>23005.07</v>
      </c>
    </row>
    <row r="34" spans="1:128" x14ac:dyDescent="0.35">
      <c r="A34" t="s">
        <v>208</v>
      </c>
      <c r="B34">
        <v>663020616</v>
      </c>
      <c r="C34" t="s">
        <v>444</v>
      </c>
      <c r="D34" t="s">
        <v>477</v>
      </c>
      <c r="E34" t="s">
        <v>466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194209.37</v>
      </c>
      <c r="M34">
        <v>12</v>
      </c>
      <c r="N34">
        <v>119</v>
      </c>
      <c r="O34">
        <v>5981318.2000000002</v>
      </c>
      <c r="P34">
        <v>260</v>
      </c>
      <c r="Q34">
        <v>2690</v>
      </c>
      <c r="R34">
        <v>0</v>
      </c>
      <c r="S34">
        <v>-119</v>
      </c>
      <c r="T34">
        <v>-4.4237918215610003E-2</v>
      </c>
      <c r="U34">
        <v>0</v>
      </c>
      <c r="V34">
        <v>0</v>
      </c>
      <c r="W34">
        <v>5981318.2000000002</v>
      </c>
      <c r="X34">
        <v>290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400</v>
      </c>
      <c r="AQ34">
        <v>0</v>
      </c>
      <c r="AR34">
        <v>0</v>
      </c>
      <c r="AS34">
        <v>5981318.2000000002</v>
      </c>
      <c r="AT34">
        <v>260</v>
      </c>
      <c r="AU34">
        <v>0</v>
      </c>
      <c r="AV34">
        <v>0</v>
      </c>
      <c r="AW34">
        <v>0</v>
      </c>
      <c r="AX34">
        <v>0</v>
      </c>
      <c r="AY34">
        <v>5981318.2000000002</v>
      </c>
      <c r="AZ34">
        <v>260</v>
      </c>
      <c r="BA34">
        <v>60884269.600000001</v>
      </c>
      <c r="BB34">
        <v>2690</v>
      </c>
      <c r="BC34">
        <v>0</v>
      </c>
      <c r="BD34">
        <v>0</v>
      </c>
      <c r="BE34">
        <v>253055.77</v>
      </c>
      <c r="BF34">
        <v>11</v>
      </c>
      <c r="BG34">
        <v>1946198.32</v>
      </c>
      <c r="BH34">
        <v>86</v>
      </c>
      <c r="BI34">
        <v>23005.07</v>
      </c>
      <c r="BJ34">
        <v>1</v>
      </c>
      <c r="BK34">
        <v>33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276060.84000000003</v>
      </c>
      <c r="BU34">
        <v>12</v>
      </c>
      <c r="BV34">
        <v>23005.07</v>
      </c>
      <c r="BW34">
        <v>4.4237918215610003E-2</v>
      </c>
      <c r="BX34">
        <v>264601.06535315991</v>
      </c>
      <c r="BY34">
        <v>11.50185873605948</v>
      </c>
      <c r="BZ34">
        <v>5716717.1346468404</v>
      </c>
      <c r="CA34">
        <v>248.49814126394051</v>
      </c>
      <c r="CB34">
        <v>0</v>
      </c>
      <c r="CC34">
        <v>0</v>
      </c>
      <c r="CD34">
        <v>0</v>
      </c>
      <c r="CE34">
        <v>60884269.600000001</v>
      </c>
      <c r="CF34">
        <v>2690</v>
      </c>
      <c r="CG34">
        <v>2686023.0137</v>
      </c>
      <c r="CH34">
        <v>119</v>
      </c>
      <c r="CI34">
        <v>22555.856147540981</v>
      </c>
      <c r="CJ34">
        <v>2684146.8815573771</v>
      </c>
      <c r="CK34">
        <v>119</v>
      </c>
      <c r="CL34">
        <v>58200122.718442626</v>
      </c>
      <c r="CM34">
        <v>2571</v>
      </c>
      <c r="CN34">
        <v>0</v>
      </c>
      <c r="CO34">
        <v>0</v>
      </c>
      <c r="CP34">
        <v>0</v>
      </c>
      <c r="CQ34">
        <v>0</v>
      </c>
      <c r="CR34">
        <v>195756.304034</v>
      </c>
      <c r="CS34">
        <v>3636</v>
      </c>
      <c r="CT34">
        <v>76607.722089999996</v>
      </c>
      <c r="CU34">
        <v>2136</v>
      </c>
      <c r="CV34">
        <v>593318.10299000004</v>
      </c>
      <c r="CW34">
        <v>958466.55934100004</v>
      </c>
      <c r="CX34">
        <v>0.98773234200742999</v>
      </c>
      <c r="CY34">
        <v>1532747.8988154151</v>
      </c>
      <c r="CZ34">
        <v>1532747.8988154151</v>
      </c>
      <c r="DA34">
        <v>2.6335819019329999E-2</v>
      </c>
      <c r="DB34">
        <v>150554.42784273389</v>
      </c>
      <c r="DC34">
        <v>114334.3426929368</v>
      </c>
      <c r="DD34">
        <v>5451828.3641111692</v>
      </c>
      <c r="DE34">
        <v>248.49814126394051</v>
      </c>
      <c r="DF34">
        <v>21939.111239999998</v>
      </c>
      <c r="DG34">
        <v>248.49799999999999</v>
      </c>
      <c r="DH34">
        <v>23005.07</v>
      </c>
      <c r="DI34">
        <v>21939.111239999998</v>
      </c>
      <c r="DJ34">
        <v>248.49799999999999</v>
      </c>
      <c r="DK34">
        <v>0</v>
      </c>
      <c r="DL34">
        <v>5451828.3641111692</v>
      </c>
      <c r="DM34">
        <v>248.49814126394051</v>
      </c>
      <c r="DN34">
        <v>21985.7034238751</v>
      </c>
      <c r="DO34">
        <v>786.25468707407458</v>
      </c>
      <c r="DP34">
        <v>17286362.365642332</v>
      </c>
      <c r="DQ34">
        <v>786.25468707407458</v>
      </c>
      <c r="DR34">
        <v>21985.7034238751</v>
      </c>
      <c r="DS34">
        <v>786.25468707407458</v>
      </c>
      <c r="DT34">
        <v>21985.7034238751</v>
      </c>
      <c r="DU34">
        <v>786.25468707407458</v>
      </c>
      <c r="DV34">
        <v>21985.703423999999</v>
      </c>
      <c r="DW34">
        <v>786.255</v>
      </c>
      <c r="DX34">
        <v>23005.07</v>
      </c>
    </row>
    <row r="35" spans="1:128" x14ac:dyDescent="0.35">
      <c r="A35" t="s">
        <v>207</v>
      </c>
      <c r="B35">
        <v>663020616</v>
      </c>
      <c r="C35" t="s">
        <v>445</v>
      </c>
      <c r="D35" t="s">
        <v>477</v>
      </c>
      <c r="E35" t="s">
        <v>466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119</v>
      </c>
      <c r="O35">
        <v>0</v>
      </c>
      <c r="P35">
        <v>0</v>
      </c>
      <c r="Q35">
        <v>2690</v>
      </c>
      <c r="R35">
        <v>0</v>
      </c>
      <c r="S35">
        <v>-119</v>
      </c>
      <c r="T35">
        <v>-4.4237918215610003E-2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400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60884269.600000001</v>
      </c>
      <c r="BB35">
        <v>2690</v>
      </c>
      <c r="BC35">
        <v>0</v>
      </c>
      <c r="BD35">
        <v>0</v>
      </c>
      <c r="BE35">
        <v>0</v>
      </c>
      <c r="BF35">
        <v>0</v>
      </c>
      <c r="BG35">
        <v>1946198.32</v>
      </c>
      <c r="BH35">
        <v>86</v>
      </c>
      <c r="BI35">
        <v>0</v>
      </c>
      <c r="BJ35">
        <v>0</v>
      </c>
      <c r="BK35">
        <v>33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4.4237918215610003E-2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60884269.600000001</v>
      </c>
      <c r="CF35">
        <v>2690</v>
      </c>
      <c r="CG35">
        <v>2686023.0137</v>
      </c>
      <c r="CH35">
        <v>119</v>
      </c>
      <c r="CI35">
        <v>0</v>
      </c>
      <c r="CJ35">
        <v>0</v>
      </c>
      <c r="CK35">
        <v>119</v>
      </c>
      <c r="CL35">
        <v>60884269.600000001</v>
      </c>
      <c r="CM35">
        <v>2571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593318.10299000004</v>
      </c>
      <c r="CW35">
        <v>958466.55934100004</v>
      </c>
      <c r="CX35">
        <v>0.98773234200742999</v>
      </c>
      <c r="CY35">
        <v>1532747.8988154151</v>
      </c>
      <c r="CZ35">
        <v>1532747.8988154151</v>
      </c>
      <c r="DA35">
        <v>2.5174776816499999E-2</v>
      </c>
      <c r="DB35">
        <v>0</v>
      </c>
      <c r="DC35">
        <v>0</v>
      </c>
      <c r="DD35">
        <v>0</v>
      </c>
      <c r="DE35">
        <v>0</v>
      </c>
      <c r="DF35">
        <v>21939.111239999998</v>
      </c>
      <c r="DG35">
        <v>248.49799999999999</v>
      </c>
      <c r="DH35">
        <v>0</v>
      </c>
      <c r="DI35">
        <v>21939.111239999998</v>
      </c>
      <c r="DJ35">
        <v>248.49799999999999</v>
      </c>
      <c r="DK35">
        <v>1</v>
      </c>
      <c r="DL35">
        <v>5451828.3641111692</v>
      </c>
      <c r="DM35">
        <v>248.49814126394051</v>
      </c>
      <c r="DN35">
        <v>21985.7034238751</v>
      </c>
      <c r="DO35">
        <v>786.25468707407458</v>
      </c>
      <c r="DP35">
        <v>17286362.365642332</v>
      </c>
      <c r="DQ35">
        <v>786.25468707407458</v>
      </c>
      <c r="DR35">
        <v>21985.7034238751</v>
      </c>
      <c r="DS35">
        <v>786.25468707407458</v>
      </c>
      <c r="DT35">
        <v>21985.7034238751</v>
      </c>
      <c r="DU35">
        <v>786.25468707407458</v>
      </c>
      <c r="DV35">
        <v>21985.703423999999</v>
      </c>
      <c r="DW35">
        <v>786.255</v>
      </c>
      <c r="DX35">
        <v>0</v>
      </c>
    </row>
    <row r="36" spans="1:128" x14ac:dyDescent="0.35">
      <c r="A36" t="s">
        <v>190</v>
      </c>
      <c r="B36">
        <v>663020361</v>
      </c>
      <c r="C36" t="s">
        <v>446</v>
      </c>
      <c r="D36" t="s">
        <v>477</v>
      </c>
      <c r="E36" t="s">
        <v>467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1040.6199999999999</v>
      </c>
      <c r="M36">
        <v>1</v>
      </c>
      <c r="N36">
        <v>5</v>
      </c>
      <c r="O36">
        <v>14583.1</v>
      </c>
      <c r="P36">
        <v>10</v>
      </c>
      <c r="Q36">
        <v>173</v>
      </c>
      <c r="R36">
        <v>173</v>
      </c>
      <c r="S36">
        <v>-5</v>
      </c>
      <c r="T36">
        <v>-2.890173410405E-2</v>
      </c>
      <c r="U36">
        <v>0</v>
      </c>
      <c r="V36">
        <v>0</v>
      </c>
      <c r="W36">
        <v>14583.1</v>
      </c>
      <c r="X36">
        <v>50</v>
      </c>
      <c r="Y36">
        <v>0</v>
      </c>
      <c r="Z36">
        <v>0</v>
      </c>
      <c r="AA36">
        <v>14583.1</v>
      </c>
      <c r="AB36">
        <v>10</v>
      </c>
      <c r="AC36">
        <v>0</v>
      </c>
      <c r="AD36">
        <v>0</v>
      </c>
      <c r="AE36">
        <v>0</v>
      </c>
      <c r="AF36">
        <v>40</v>
      </c>
      <c r="AG36">
        <v>0</v>
      </c>
      <c r="AH36">
        <v>0</v>
      </c>
      <c r="AI36">
        <v>0</v>
      </c>
      <c r="AJ36">
        <v>0</v>
      </c>
      <c r="AK36">
        <v>248064.81</v>
      </c>
      <c r="AL36">
        <v>173</v>
      </c>
      <c r="AM36">
        <v>0</v>
      </c>
      <c r="AN36">
        <v>0</v>
      </c>
      <c r="AO36">
        <v>0</v>
      </c>
      <c r="AP36">
        <v>188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1458.31</v>
      </c>
      <c r="BJ36">
        <v>1</v>
      </c>
      <c r="BK36">
        <v>5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1458.31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7019.11</v>
      </c>
      <c r="CH36">
        <v>5</v>
      </c>
      <c r="CI36">
        <v>1429.837786885246</v>
      </c>
      <c r="CJ36">
        <v>7149.1889344262299</v>
      </c>
      <c r="CK36">
        <v>5</v>
      </c>
      <c r="CL36">
        <v>-7149.1889344262299</v>
      </c>
      <c r="CM36">
        <v>-5</v>
      </c>
      <c r="CN36">
        <v>145.83099999999999</v>
      </c>
      <c r="CO36">
        <v>336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1458.31</v>
      </c>
      <c r="DI36">
        <v>1458.31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1458.31</v>
      </c>
      <c r="DW36">
        <v>0</v>
      </c>
      <c r="DX36">
        <v>1458.31</v>
      </c>
    </row>
    <row r="37" spans="1:128" x14ac:dyDescent="0.35">
      <c r="A37" t="s">
        <v>192</v>
      </c>
      <c r="B37">
        <v>663020362</v>
      </c>
      <c r="C37" t="s">
        <v>447</v>
      </c>
      <c r="D37" t="s">
        <v>477</v>
      </c>
      <c r="E37" t="s">
        <v>467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</v>
      </c>
      <c r="O37">
        <v>113748.9</v>
      </c>
      <c r="P37">
        <v>30</v>
      </c>
      <c r="Q37">
        <v>177</v>
      </c>
      <c r="R37">
        <v>177</v>
      </c>
      <c r="S37">
        <v>-6</v>
      </c>
      <c r="T37">
        <v>-3.3898305084750002E-2</v>
      </c>
      <c r="U37">
        <v>0</v>
      </c>
      <c r="V37">
        <v>0</v>
      </c>
      <c r="W37">
        <v>113748.9</v>
      </c>
      <c r="X37">
        <v>40</v>
      </c>
      <c r="Y37">
        <v>0</v>
      </c>
      <c r="Z37">
        <v>0</v>
      </c>
      <c r="AA37">
        <v>113748.9</v>
      </c>
      <c r="AB37">
        <v>30</v>
      </c>
      <c r="AC37">
        <v>0</v>
      </c>
      <c r="AD37">
        <v>0</v>
      </c>
      <c r="AE37">
        <v>0</v>
      </c>
      <c r="AF37">
        <v>10</v>
      </c>
      <c r="AG37">
        <v>0</v>
      </c>
      <c r="AH37">
        <v>0</v>
      </c>
      <c r="AI37">
        <v>0</v>
      </c>
      <c r="AJ37">
        <v>0</v>
      </c>
      <c r="AK37">
        <v>664919.66</v>
      </c>
      <c r="AL37">
        <v>177</v>
      </c>
      <c r="AM37">
        <v>0</v>
      </c>
      <c r="AN37">
        <v>0</v>
      </c>
      <c r="AO37">
        <v>0</v>
      </c>
      <c r="AP37">
        <v>142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6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21864.23</v>
      </c>
      <c r="CH37">
        <v>6</v>
      </c>
      <c r="CI37">
        <v>3717.592213114754</v>
      </c>
      <c r="CJ37">
        <v>22305.55327868852</v>
      </c>
      <c r="CK37">
        <v>6</v>
      </c>
      <c r="CL37">
        <v>-22305.55327868852</v>
      </c>
      <c r="CM37">
        <v>-6</v>
      </c>
      <c r="CN37">
        <v>6180.0285940000003</v>
      </c>
      <c r="CO37">
        <v>3024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3791.63</v>
      </c>
      <c r="DI37">
        <v>3791.63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3791.63</v>
      </c>
      <c r="DW37">
        <v>0</v>
      </c>
      <c r="DX37">
        <v>3791.63</v>
      </c>
    </row>
    <row r="38" spans="1:128" x14ac:dyDescent="0.35">
      <c r="A38" t="s">
        <v>194</v>
      </c>
      <c r="B38">
        <v>663020363</v>
      </c>
      <c r="C38" t="s">
        <v>448</v>
      </c>
      <c r="D38" t="s">
        <v>477</v>
      </c>
      <c r="E38" t="s">
        <v>467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122498.8</v>
      </c>
      <c r="P38">
        <v>20</v>
      </c>
      <c r="Q38">
        <v>126</v>
      </c>
      <c r="R38">
        <v>126</v>
      </c>
      <c r="S38">
        <v>-2</v>
      </c>
      <c r="T38">
        <v>-1.5873015873020001E-2</v>
      </c>
      <c r="U38">
        <v>0</v>
      </c>
      <c r="V38">
        <v>0</v>
      </c>
      <c r="W38">
        <v>122498.8</v>
      </c>
      <c r="X38">
        <v>20</v>
      </c>
      <c r="Y38">
        <v>0</v>
      </c>
      <c r="Z38">
        <v>0</v>
      </c>
      <c r="AA38">
        <v>122498.8</v>
      </c>
      <c r="AB38">
        <v>20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766592.64</v>
      </c>
      <c r="AL38">
        <v>126</v>
      </c>
      <c r="AM38">
        <v>0</v>
      </c>
      <c r="AN38">
        <v>0</v>
      </c>
      <c r="AO38">
        <v>0</v>
      </c>
      <c r="AP38">
        <v>150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11677.68</v>
      </c>
      <c r="CH38">
        <v>2</v>
      </c>
      <c r="CI38">
        <v>6005.3408196721311</v>
      </c>
      <c r="CJ38">
        <v>12010.68163934426</v>
      </c>
      <c r="CK38">
        <v>2</v>
      </c>
      <c r="CL38">
        <v>-12010.68163934426</v>
      </c>
      <c r="CM38">
        <v>-2</v>
      </c>
      <c r="CN38">
        <v>1408.731</v>
      </c>
      <c r="CO38">
        <v>1260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6124.94</v>
      </c>
      <c r="DI38">
        <v>6124.94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6124.94</v>
      </c>
      <c r="DW38">
        <v>0</v>
      </c>
      <c r="DX38">
        <v>6124.94</v>
      </c>
    </row>
    <row r="39" spans="1:128" x14ac:dyDescent="0.35">
      <c r="A39" t="s">
        <v>177</v>
      </c>
      <c r="B39">
        <v>663020360</v>
      </c>
      <c r="C39" t="s">
        <v>449</v>
      </c>
      <c r="D39" t="s">
        <v>477</v>
      </c>
      <c r="E39" t="s">
        <v>467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9.9999999999999995E-7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9.9999999999999995E-7</v>
      </c>
      <c r="DW39">
        <v>0</v>
      </c>
      <c r="DX39">
        <v>0</v>
      </c>
    </row>
    <row r="40" spans="1:128" x14ac:dyDescent="0.35">
      <c r="A40" t="s">
        <v>179</v>
      </c>
      <c r="B40">
        <v>663020360</v>
      </c>
      <c r="C40" t="s">
        <v>450</v>
      </c>
      <c r="D40" t="s">
        <v>477</v>
      </c>
      <c r="E40" t="s">
        <v>467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9.9999999999999995E-7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9.9999999999999995E-7</v>
      </c>
      <c r="DW40">
        <v>0</v>
      </c>
      <c r="DX40">
        <v>0</v>
      </c>
    </row>
    <row r="41" spans="1:128" x14ac:dyDescent="0.35">
      <c r="A41" t="s">
        <v>180</v>
      </c>
      <c r="B41">
        <v>663020360</v>
      </c>
      <c r="C41" t="s">
        <v>451</v>
      </c>
      <c r="D41" t="s">
        <v>477</v>
      </c>
      <c r="E41" t="s">
        <v>467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9.9999999999999995E-7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9.9999999999999995E-7</v>
      </c>
      <c r="DW41">
        <v>0</v>
      </c>
      <c r="DX41">
        <v>0</v>
      </c>
    </row>
    <row r="42" spans="1:128" x14ac:dyDescent="0.35">
      <c r="A42" t="s">
        <v>181</v>
      </c>
      <c r="B42">
        <v>663020360</v>
      </c>
      <c r="C42" t="s">
        <v>452</v>
      </c>
      <c r="D42" t="s">
        <v>477</v>
      </c>
      <c r="E42" t="s">
        <v>467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9.9999999999999995E-7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9.9999999999999995E-7</v>
      </c>
      <c r="DW42">
        <v>0</v>
      </c>
      <c r="DX42">
        <v>0</v>
      </c>
    </row>
    <row r="43" spans="1:128" x14ac:dyDescent="0.35">
      <c r="A43" t="s">
        <v>182</v>
      </c>
      <c r="B43">
        <v>663020360</v>
      </c>
      <c r="C43" t="s">
        <v>453</v>
      </c>
      <c r="D43" t="s">
        <v>477</v>
      </c>
      <c r="E43" t="s">
        <v>467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9.9999999999999995E-7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9.9999999999999995E-7</v>
      </c>
      <c r="DW43">
        <v>0</v>
      </c>
      <c r="DX43">
        <v>0</v>
      </c>
    </row>
    <row r="44" spans="1:128" x14ac:dyDescent="0.35">
      <c r="A44" t="s">
        <v>183</v>
      </c>
      <c r="B44">
        <v>663020360</v>
      </c>
      <c r="C44" t="s">
        <v>454</v>
      </c>
      <c r="D44" t="s">
        <v>477</v>
      </c>
      <c r="E44" t="s">
        <v>467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9.9999999999999995E-7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9.9999999999999995E-7</v>
      </c>
      <c r="DW44">
        <v>0</v>
      </c>
      <c r="DX44">
        <v>0</v>
      </c>
    </row>
    <row r="45" spans="1:128" x14ac:dyDescent="0.35">
      <c r="A45" t="s">
        <v>184</v>
      </c>
      <c r="B45">
        <v>663020360</v>
      </c>
      <c r="C45" t="s">
        <v>455</v>
      </c>
      <c r="D45" t="s">
        <v>477</v>
      </c>
      <c r="E45" t="s">
        <v>467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9.9999999999999995E-7</v>
      </c>
      <c r="DJ45">
        <v>0</v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9.9999999999999995E-7</v>
      </c>
      <c r="DW45">
        <v>0</v>
      </c>
      <c r="DX45">
        <v>0</v>
      </c>
    </row>
    <row r="46" spans="1:128" x14ac:dyDescent="0.35">
      <c r="A46" t="s">
        <v>185</v>
      </c>
      <c r="B46">
        <v>663020360</v>
      </c>
      <c r="C46" t="s">
        <v>456</v>
      </c>
      <c r="D46" t="s">
        <v>477</v>
      </c>
      <c r="E46" t="s">
        <v>467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9.9999999999999995E-7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9.9999999999999995E-7</v>
      </c>
      <c r="DW46">
        <v>0</v>
      </c>
      <c r="DX46">
        <v>0</v>
      </c>
    </row>
    <row r="47" spans="1:128" x14ac:dyDescent="0.35">
      <c r="A47" t="s">
        <v>186</v>
      </c>
      <c r="B47">
        <v>663020360</v>
      </c>
      <c r="C47" t="s">
        <v>457</v>
      </c>
      <c r="D47" t="s">
        <v>477</v>
      </c>
      <c r="E47" t="s">
        <v>467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9.9999999999999995E-7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9.9999999999999995E-7</v>
      </c>
      <c r="DW47">
        <v>0</v>
      </c>
      <c r="DX47">
        <v>0</v>
      </c>
    </row>
    <row r="48" spans="1:128" x14ac:dyDescent="0.35">
      <c r="A48" t="s">
        <v>187</v>
      </c>
      <c r="B48">
        <v>663020360</v>
      </c>
      <c r="C48" t="s">
        <v>458</v>
      </c>
      <c r="D48" t="s">
        <v>477</v>
      </c>
      <c r="E48" t="s">
        <v>467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9.9999999999999995E-7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9.9999999999999995E-7</v>
      </c>
      <c r="DW48">
        <v>0</v>
      </c>
      <c r="DX48">
        <v>0</v>
      </c>
    </row>
    <row r="49" spans="1:128" x14ac:dyDescent="0.35">
      <c r="A49" t="s">
        <v>188</v>
      </c>
      <c r="B49">
        <v>663020360</v>
      </c>
      <c r="C49" t="s">
        <v>459</v>
      </c>
      <c r="D49" t="s">
        <v>477</v>
      </c>
      <c r="E49" t="s">
        <v>467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9.9999999999999995E-7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9.9999999999999995E-7</v>
      </c>
      <c r="DW49">
        <v>0</v>
      </c>
      <c r="DX49">
        <v>0</v>
      </c>
    </row>
    <row r="50" spans="1:128" x14ac:dyDescent="0.35">
      <c r="A50" t="s">
        <v>189</v>
      </c>
      <c r="B50">
        <v>663020360</v>
      </c>
      <c r="C50" t="s">
        <v>460</v>
      </c>
      <c r="D50" t="s">
        <v>477</v>
      </c>
      <c r="E50" t="s">
        <v>467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9.9999999999999995E-7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9.9999999999999995E-7</v>
      </c>
      <c r="DW50">
        <v>0</v>
      </c>
      <c r="DX50">
        <v>0</v>
      </c>
    </row>
    <row r="51" spans="1:128" x14ac:dyDescent="0.35">
      <c r="A51" t="s">
        <v>157</v>
      </c>
      <c r="B51">
        <v>663020300</v>
      </c>
      <c r="C51" t="s">
        <v>430</v>
      </c>
      <c r="D51" t="s">
        <v>477</v>
      </c>
      <c r="E51" t="s">
        <v>467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211200</v>
      </c>
      <c r="O51">
        <v>0</v>
      </c>
      <c r="P51">
        <v>0</v>
      </c>
      <c r="Q51">
        <v>230300</v>
      </c>
      <c r="R51">
        <v>230300</v>
      </c>
      <c r="S51">
        <v>-211200</v>
      </c>
      <c r="T51">
        <v>-0.91706469821971004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1568988.45</v>
      </c>
      <c r="AL51">
        <v>230300</v>
      </c>
      <c r="AM51">
        <v>0</v>
      </c>
      <c r="AN51">
        <v>0</v>
      </c>
      <c r="AO51">
        <v>0</v>
      </c>
      <c r="AP51">
        <v>61200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18262.62</v>
      </c>
      <c r="BH51">
        <v>2700</v>
      </c>
      <c r="BI51">
        <v>0</v>
      </c>
      <c r="BJ51">
        <v>0</v>
      </c>
      <c r="BK51">
        <v>208500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50269.035300000003</v>
      </c>
      <c r="CH51">
        <v>211200</v>
      </c>
      <c r="CI51">
        <v>6.8085573770491798</v>
      </c>
      <c r="CJ51">
        <v>1437967.3180327869</v>
      </c>
      <c r="CK51">
        <v>211200</v>
      </c>
      <c r="CL51">
        <v>-1437967.3180327869</v>
      </c>
      <c r="CM51">
        <v>-211200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6.944</v>
      </c>
      <c r="DI51">
        <v>6.9440999999999997</v>
      </c>
      <c r="DJ51">
        <v>0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6.9440999999999997</v>
      </c>
      <c r="DW51">
        <v>0</v>
      </c>
      <c r="DX51">
        <v>6.944</v>
      </c>
    </row>
    <row r="52" spans="1:128" x14ac:dyDescent="0.35">
      <c r="A52" t="s">
        <v>161</v>
      </c>
      <c r="B52">
        <v>663020302</v>
      </c>
      <c r="C52" t="s">
        <v>431</v>
      </c>
      <c r="D52" t="s">
        <v>477</v>
      </c>
      <c r="E52" t="s">
        <v>467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1020100</v>
      </c>
      <c r="O52">
        <v>0</v>
      </c>
      <c r="P52">
        <v>0</v>
      </c>
      <c r="Q52">
        <v>1267100</v>
      </c>
      <c r="R52">
        <v>1267100</v>
      </c>
      <c r="S52">
        <v>-1020100</v>
      </c>
      <c r="T52">
        <v>-0.80506668771209999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17282044.989999998</v>
      </c>
      <c r="AL52">
        <v>1267100</v>
      </c>
      <c r="AM52">
        <v>0</v>
      </c>
      <c r="AN52">
        <v>0</v>
      </c>
      <c r="AO52">
        <v>0</v>
      </c>
      <c r="AP52">
        <v>248500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321479.09000000003</v>
      </c>
      <c r="BH52">
        <v>23700</v>
      </c>
      <c r="BI52">
        <v>0</v>
      </c>
      <c r="BJ52">
        <v>0</v>
      </c>
      <c r="BK52">
        <v>996400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480730.2317</v>
      </c>
      <c r="CH52">
        <v>1020100</v>
      </c>
      <c r="CI52">
        <v>13.615114754098361</v>
      </c>
      <c r="CJ52">
        <v>13888778.560655739</v>
      </c>
      <c r="CK52">
        <v>1020100</v>
      </c>
      <c r="CL52">
        <v>-13888778.560655739</v>
      </c>
      <c r="CM52">
        <v>-1020100</v>
      </c>
      <c r="CN52">
        <v>40.799002000000002</v>
      </c>
      <c r="CO52">
        <v>120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13.885999999999999</v>
      </c>
      <c r="DI52">
        <v>13.887499999999999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13.887499999999999</v>
      </c>
      <c r="DW52">
        <v>0</v>
      </c>
      <c r="DX52">
        <v>13.885999999999999</v>
      </c>
    </row>
    <row r="53" spans="1:128" x14ac:dyDescent="0.35">
      <c r="A53" t="s">
        <v>165</v>
      </c>
      <c r="B53">
        <v>663020310</v>
      </c>
      <c r="C53" t="s">
        <v>432</v>
      </c>
      <c r="D53" t="s">
        <v>477</v>
      </c>
      <c r="E53" t="s">
        <v>467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1748360</v>
      </c>
      <c r="O53">
        <v>71105.279999999999</v>
      </c>
      <c r="P53">
        <v>1280</v>
      </c>
      <c r="Q53">
        <v>1689620</v>
      </c>
      <c r="R53">
        <v>1689620</v>
      </c>
      <c r="S53">
        <v>-1748360</v>
      </c>
      <c r="T53">
        <v>-1.0347652134799501</v>
      </c>
      <c r="U53">
        <v>0</v>
      </c>
      <c r="V53">
        <v>0</v>
      </c>
      <c r="W53">
        <v>71105.279999999999</v>
      </c>
      <c r="X53">
        <v>1280</v>
      </c>
      <c r="Y53">
        <v>0</v>
      </c>
      <c r="Z53">
        <v>0</v>
      </c>
      <c r="AA53">
        <v>71105.279999999999</v>
      </c>
      <c r="AB53">
        <v>1280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92205934.650000006</v>
      </c>
      <c r="AL53">
        <v>1689620</v>
      </c>
      <c r="AM53">
        <v>0</v>
      </c>
      <c r="AN53">
        <v>0</v>
      </c>
      <c r="AO53">
        <v>0</v>
      </c>
      <c r="AP53">
        <v>247900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2330849.06</v>
      </c>
      <c r="BH53">
        <v>42860</v>
      </c>
      <c r="BI53">
        <v>0</v>
      </c>
      <c r="BJ53">
        <v>0</v>
      </c>
      <c r="BK53">
        <v>1705500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3615197.7349</v>
      </c>
      <c r="CH53">
        <v>1748360</v>
      </c>
      <c r="CI53">
        <v>54.466622950819669</v>
      </c>
      <c r="CJ53">
        <v>95227264.902295083</v>
      </c>
      <c r="CK53">
        <v>1748360</v>
      </c>
      <c r="CL53">
        <v>-95227264.902295083</v>
      </c>
      <c r="CM53">
        <v>-1748360</v>
      </c>
      <c r="CN53">
        <v>566.21237699999995</v>
      </c>
      <c r="CO53">
        <v>420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55.551000000000002</v>
      </c>
      <c r="DI53">
        <v>55.551299999999998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55.551299999999998</v>
      </c>
      <c r="DW53">
        <v>0</v>
      </c>
      <c r="DX53">
        <v>55.551000000000002</v>
      </c>
    </row>
    <row r="54" spans="1:128" x14ac:dyDescent="0.35">
      <c r="A54" t="s">
        <v>171</v>
      </c>
      <c r="B54">
        <v>663020325</v>
      </c>
      <c r="C54" t="s">
        <v>433</v>
      </c>
      <c r="D54" t="s">
        <v>477</v>
      </c>
      <c r="E54" t="s">
        <v>467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322800</v>
      </c>
      <c r="O54">
        <v>0</v>
      </c>
      <c r="P54">
        <v>0</v>
      </c>
      <c r="Q54">
        <v>713460</v>
      </c>
      <c r="R54">
        <v>713460</v>
      </c>
      <c r="S54">
        <v>-322800</v>
      </c>
      <c r="T54">
        <v>-0.45244302413589998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97205920.379999995</v>
      </c>
      <c r="AL54">
        <v>713460</v>
      </c>
      <c r="AM54">
        <v>0</v>
      </c>
      <c r="AN54">
        <v>0</v>
      </c>
      <c r="AO54">
        <v>0</v>
      </c>
      <c r="AP54">
        <v>126700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2647802.67</v>
      </c>
      <c r="BH54">
        <v>19500</v>
      </c>
      <c r="BI54">
        <v>0</v>
      </c>
      <c r="BJ54">
        <v>0</v>
      </c>
      <c r="BK54">
        <v>303300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3057324.6483</v>
      </c>
      <c r="CH54">
        <v>322800</v>
      </c>
      <c r="CI54">
        <v>136.1662213114754</v>
      </c>
      <c r="CJ54">
        <v>43954456.239344262</v>
      </c>
      <c r="CK54">
        <v>322800</v>
      </c>
      <c r="CL54">
        <v>-43954456.239344262</v>
      </c>
      <c r="CM54">
        <v>-322800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138.87799999999999</v>
      </c>
      <c r="DI54">
        <v>138.87860000000001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138.87860000000001</v>
      </c>
      <c r="DW54">
        <v>0</v>
      </c>
      <c r="DX54">
        <v>138.87799999999999</v>
      </c>
    </row>
    <row r="55" spans="1:128" x14ac:dyDescent="0.35">
      <c r="A55" t="s">
        <v>175</v>
      </c>
      <c r="B55">
        <v>663020350</v>
      </c>
      <c r="C55" t="s">
        <v>434</v>
      </c>
      <c r="D55" t="s">
        <v>477</v>
      </c>
      <c r="E55" t="s">
        <v>467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1367600</v>
      </c>
      <c r="O55">
        <v>0</v>
      </c>
      <c r="P55">
        <v>0</v>
      </c>
      <c r="Q55">
        <v>936220</v>
      </c>
      <c r="R55">
        <v>936220</v>
      </c>
      <c r="S55">
        <v>-1367600</v>
      </c>
      <c r="T55">
        <v>-1.4607677682596001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255300849.5</v>
      </c>
      <c r="AL55">
        <v>936220</v>
      </c>
      <c r="AM55">
        <v>0</v>
      </c>
      <c r="AN55">
        <v>0</v>
      </c>
      <c r="AO55">
        <v>0</v>
      </c>
      <c r="AP55">
        <v>179100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10772656.619999999</v>
      </c>
      <c r="BH55">
        <v>39700</v>
      </c>
      <c r="BI55">
        <v>0</v>
      </c>
      <c r="BJ55">
        <v>0</v>
      </c>
      <c r="BK55">
        <v>1327900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14361218.559599999</v>
      </c>
      <c r="CH55">
        <v>1367600</v>
      </c>
      <c r="CI55">
        <v>272.33344262295083</v>
      </c>
      <c r="CJ55">
        <v>372443216.13114762</v>
      </c>
      <c r="CK55">
        <v>1367600</v>
      </c>
      <c r="CL55">
        <v>-372443216.13114762</v>
      </c>
      <c r="CM55">
        <v>-1367600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1593.89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277.75700000000001</v>
      </c>
      <c r="DI55">
        <v>277.75700000000001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277.75700000000001</v>
      </c>
      <c r="DW55">
        <v>0</v>
      </c>
      <c r="DX55">
        <v>277.75700000000001</v>
      </c>
    </row>
    <row r="56" spans="1:128" x14ac:dyDescent="0.35">
      <c r="A56" t="s">
        <v>223</v>
      </c>
      <c r="B56">
        <v>663020716</v>
      </c>
      <c r="C56" t="s">
        <v>461</v>
      </c>
      <c r="D56" t="s">
        <v>477</v>
      </c>
      <c r="E56" t="s">
        <v>466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80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263085.59999999998</v>
      </c>
      <c r="BB56">
        <v>80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263085.59999999998</v>
      </c>
      <c r="CF56">
        <v>80</v>
      </c>
      <c r="CG56">
        <v>0</v>
      </c>
      <c r="CH56">
        <v>0</v>
      </c>
      <c r="CI56">
        <v>3288.57</v>
      </c>
      <c r="CJ56">
        <v>0</v>
      </c>
      <c r="CK56">
        <v>0</v>
      </c>
      <c r="CL56">
        <v>263085.59999999998</v>
      </c>
      <c r="CM56">
        <v>80</v>
      </c>
      <c r="CN56">
        <v>0</v>
      </c>
      <c r="CO56">
        <v>0</v>
      </c>
      <c r="CP56">
        <v>0</v>
      </c>
      <c r="CQ56">
        <v>0</v>
      </c>
      <c r="CR56">
        <v>98.6571</v>
      </c>
      <c r="CS56">
        <v>16</v>
      </c>
      <c r="CT56">
        <v>180.87135000000001</v>
      </c>
      <c r="CU56">
        <v>16</v>
      </c>
      <c r="CV56">
        <v>180.87135000000001</v>
      </c>
      <c r="CW56">
        <v>98.6571</v>
      </c>
      <c r="CX56">
        <v>1</v>
      </c>
      <c r="CY56">
        <v>279.52845000000002</v>
      </c>
      <c r="CZ56">
        <v>279.52845000000002</v>
      </c>
      <c r="DA56">
        <v>1.0625000000000001E-3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3288.57</v>
      </c>
      <c r="DI56">
        <v>3222.7986000000001</v>
      </c>
      <c r="DJ56">
        <v>0</v>
      </c>
      <c r="DK56">
        <v>0</v>
      </c>
      <c r="DL56">
        <v>0</v>
      </c>
      <c r="DM56">
        <v>0</v>
      </c>
      <c r="DN56">
        <v>3222.7986000000001</v>
      </c>
      <c r="DO56">
        <v>50</v>
      </c>
      <c r="DP56">
        <v>161139.93</v>
      </c>
      <c r="DQ56">
        <v>50</v>
      </c>
      <c r="DR56">
        <v>3222.7986000000001</v>
      </c>
      <c r="DS56">
        <v>50</v>
      </c>
      <c r="DT56">
        <v>3222.7986000000001</v>
      </c>
      <c r="DU56">
        <v>50</v>
      </c>
      <c r="DV56">
        <v>3222.7986000000001</v>
      </c>
      <c r="DW56">
        <v>50</v>
      </c>
      <c r="DX56">
        <v>3288.57</v>
      </c>
    </row>
    <row r="57" spans="1:128" x14ac:dyDescent="0.35">
      <c r="A57" t="s">
        <v>225</v>
      </c>
      <c r="B57">
        <v>663020732</v>
      </c>
      <c r="C57" t="s">
        <v>462</v>
      </c>
      <c r="D57" t="s">
        <v>477</v>
      </c>
      <c r="E57" t="s">
        <v>466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60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197314.2</v>
      </c>
      <c r="BB57">
        <v>60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197314.2</v>
      </c>
      <c r="CF57">
        <v>60</v>
      </c>
      <c r="CG57">
        <v>0</v>
      </c>
      <c r="CH57">
        <v>0</v>
      </c>
      <c r="CI57">
        <v>3288.57</v>
      </c>
      <c r="CJ57">
        <v>0</v>
      </c>
      <c r="CK57">
        <v>0</v>
      </c>
      <c r="CL57">
        <v>197314.2</v>
      </c>
      <c r="CM57">
        <v>60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3288.57</v>
      </c>
      <c r="DI57">
        <v>3222.7986000000001</v>
      </c>
      <c r="DJ57">
        <v>0</v>
      </c>
      <c r="DK57">
        <v>0</v>
      </c>
      <c r="DL57">
        <v>0</v>
      </c>
      <c r="DM57">
        <v>0</v>
      </c>
      <c r="DN57">
        <v>3222.7986000000001</v>
      </c>
      <c r="DO57">
        <v>30</v>
      </c>
      <c r="DP57">
        <v>96683.957999999999</v>
      </c>
      <c r="DQ57">
        <v>30</v>
      </c>
      <c r="DR57">
        <v>3222.7986000000001</v>
      </c>
      <c r="DS57">
        <v>30</v>
      </c>
      <c r="DT57">
        <v>3222.7986000000001</v>
      </c>
      <c r="DU57">
        <v>30</v>
      </c>
      <c r="DV57">
        <v>3222.7986000000001</v>
      </c>
      <c r="DW57">
        <v>30</v>
      </c>
      <c r="DX57">
        <v>3288.57</v>
      </c>
    </row>
    <row r="58" spans="1:128" x14ac:dyDescent="0.35">
      <c r="A58" t="s">
        <v>226</v>
      </c>
      <c r="B58">
        <v>663020748</v>
      </c>
      <c r="C58" t="s">
        <v>463</v>
      </c>
      <c r="D58" t="s">
        <v>477</v>
      </c>
      <c r="E58" t="s">
        <v>466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60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197314.2</v>
      </c>
      <c r="BB58">
        <v>60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197314.2</v>
      </c>
      <c r="CF58">
        <v>60</v>
      </c>
      <c r="CG58">
        <v>0</v>
      </c>
      <c r="CH58">
        <v>0</v>
      </c>
      <c r="CI58">
        <v>3288.57</v>
      </c>
      <c r="CJ58">
        <v>0</v>
      </c>
      <c r="CK58">
        <v>0</v>
      </c>
      <c r="CL58">
        <v>197314.2</v>
      </c>
      <c r="CM58">
        <v>60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3288.57</v>
      </c>
      <c r="DI58">
        <v>3222.7986000000001</v>
      </c>
      <c r="DJ58">
        <v>0</v>
      </c>
      <c r="DK58">
        <v>0</v>
      </c>
      <c r="DL58">
        <v>0</v>
      </c>
      <c r="DM58">
        <v>0</v>
      </c>
      <c r="DN58">
        <v>3222.7986000000001</v>
      </c>
      <c r="DO58">
        <v>30</v>
      </c>
      <c r="DP58">
        <v>96683.957999999999</v>
      </c>
      <c r="DQ58">
        <v>30</v>
      </c>
      <c r="DR58">
        <v>3222.7986000000001</v>
      </c>
      <c r="DS58">
        <v>30</v>
      </c>
      <c r="DT58">
        <v>3222.7986000000001</v>
      </c>
      <c r="DU58">
        <v>30</v>
      </c>
      <c r="DV58">
        <v>3222.7986000000001</v>
      </c>
      <c r="DW58">
        <v>30</v>
      </c>
      <c r="DX58">
        <v>3288.57</v>
      </c>
    </row>
    <row r="59" spans="1:128" x14ac:dyDescent="0.35">
      <c r="A59" t="s">
        <v>227</v>
      </c>
      <c r="B59">
        <v>663020764</v>
      </c>
      <c r="C59" t="s">
        <v>464</v>
      </c>
      <c r="D59" t="s">
        <v>477</v>
      </c>
      <c r="E59" t="s">
        <v>466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197314.2</v>
      </c>
      <c r="BB59">
        <v>60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197314.2</v>
      </c>
      <c r="CF59">
        <v>60</v>
      </c>
      <c r="CG59">
        <v>0</v>
      </c>
      <c r="CH59">
        <v>0</v>
      </c>
      <c r="CI59">
        <v>3288.57</v>
      </c>
      <c r="CJ59">
        <v>0</v>
      </c>
      <c r="CK59">
        <v>0</v>
      </c>
      <c r="CL59">
        <v>197314.2</v>
      </c>
      <c r="CM59">
        <v>60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3288.57</v>
      </c>
      <c r="DI59">
        <v>3222.7986000000001</v>
      </c>
      <c r="DJ59">
        <v>0</v>
      </c>
      <c r="DK59">
        <v>0</v>
      </c>
      <c r="DL59">
        <v>0</v>
      </c>
      <c r="DM59">
        <v>0</v>
      </c>
      <c r="DN59">
        <v>3222.7986000000001</v>
      </c>
      <c r="DO59">
        <v>30</v>
      </c>
      <c r="DP59">
        <v>96683.957999999999</v>
      </c>
      <c r="DQ59">
        <v>30</v>
      </c>
      <c r="DR59">
        <v>3222.7986000000001</v>
      </c>
      <c r="DS59">
        <v>30</v>
      </c>
      <c r="DT59">
        <v>3222.7986000000001</v>
      </c>
      <c r="DU59">
        <v>30</v>
      </c>
      <c r="DV59">
        <v>3222.7986000000001</v>
      </c>
      <c r="DW59">
        <v>30</v>
      </c>
      <c r="DX59">
        <v>3288.57</v>
      </c>
    </row>
    <row r="60" spans="1:128" x14ac:dyDescent="0.35">
      <c r="A60" t="s">
        <v>138</v>
      </c>
      <c r="B60">
        <v>663020150</v>
      </c>
      <c r="C60" t="s">
        <v>465</v>
      </c>
      <c r="D60" t="s">
        <v>477</v>
      </c>
      <c r="E60" t="s">
        <v>466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11300</v>
      </c>
      <c r="O60">
        <v>320296.8</v>
      </c>
      <c r="P60">
        <v>1268000</v>
      </c>
      <c r="Q60">
        <v>14472000</v>
      </c>
      <c r="R60">
        <v>0</v>
      </c>
      <c r="S60">
        <v>-11300</v>
      </c>
      <c r="T60">
        <v>-7.8081813156000005E-4</v>
      </c>
      <c r="U60">
        <v>0</v>
      </c>
      <c r="V60">
        <v>0</v>
      </c>
      <c r="W60">
        <v>320296.8</v>
      </c>
      <c r="X60">
        <v>1471000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203000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1377000</v>
      </c>
      <c r="AQ60">
        <v>0</v>
      </c>
      <c r="AR60">
        <v>0</v>
      </c>
      <c r="AS60">
        <v>320296.8</v>
      </c>
      <c r="AT60">
        <v>1268000</v>
      </c>
      <c r="AU60">
        <v>0</v>
      </c>
      <c r="AV60">
        <v>0</v>
      </c>
      <c r="AW60">
        <v>0</v>
      </c>
      <c r="AX60">
        <v>0</v>
      </c>
      <c r="AY60">
        <v>320296.8</v>
      </c>
      <c r="AZ60">
        <v>1268000</v>
      </c>
      <c r="BA60">
        <v>3655627.2</v>
      </c>
      <c r="BB60">
        <v>14576495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11300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0.25259999999999999</v>
      </c>
      <c r="BW60">
        <v>7.7522065489999997E-4</v>
      </c>
      <c r="BX60">
        <v>248.30069505735091</v>
      </c>
      <c r="BY60">
        <v>982.97979040914845</v>
      </c>
      <c r="BZ60">
        <v>320048.49930494273</v>
      </c>
      <c r="CA60">
        <v>1267017.0202095909</v>
      </c>
      <c r="CB60">
        <v>0</v>
      </c>
      <c r="CC60">
        <v>0</v>
      </c>
      <c r="CD60">
        <v>0</v>
      </c>
      <c r="CE60">
        <v>3655627.2</v>
      </c>
      <c r="CF60">
        <v>14576495</v>
      </c>
      <c r="CG60">
        <v>2854.38</v>
      </c>
      <c r="CH60">
        <v>11300</v>
      </c>
      <c r="CI60">
        <v>0.25259999999999999</v>
      </c>
      <c r="CJ60">
        <v>2854.38</v>
      </c>
      <c r="CK60">
        <v>11300</v>
      </c>
      <c r="CL60">
        <v>3652772.82</v>
      </c>
      <c r="CM60">
        <v>14565195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0.99922477934510001</v>
      </c>
      <c r="CY60">
        <v>0</v>
      </c>
      <c r="CZ60">
        <v>0</v>
      </c>
      <c r="DA60">
        <v>0</v>
      </c>
      <c r="DB60">
        <v>0</v>
      </c>
      <c r="DC60">
        <v>6400.969986098853</v>
      </c>
      <c r="DD60">
        <v>313647.52931884379</v>
      </c>
      <c r="DE60">
        <v>1267017.0202095909</v>
      </c>
      <c r="DF60">
        <v>0.24754799999999999</v>
      </c>
      <c r="DG60">
        <v>1267017.02</v>
      </c>
      <c r="DH60">
        <v>0.25259999999999999</v>
      </c>
      <c r="DI60">
        <v>0.24754799999999999</v>
      </c>
      <c r="DJ60">
        <v>1267017.02</v>
      </c>
      <c r="DK60">
        <v>0</v>
      </c>
      <c r="DL60">
        <v>313647.52931884379</v>
      </c>
      <c r="DM60">
        <v>1267017.0202095909</v>
      </c>
      <c r="DN60">
        <v>0.24219894907101</v>
      </c>
      <c r="DO60">
        <v>4623956.9373792866</v>
      </c>
      <c r="DP60">
        <v>1119917.5107828551</v>
      </c>
      <c r="DQ60">
        <v>4623956.9373792866</v>
      </c>
      <c r="DR60">
        <v>0.24219894907101</v>
      </c>
      <c r="DS60">
        <v>4623956.9373792866</v>
      </c>
      <c r="DT60">
        <v>0.24219894907101</v>
      </c>
      <c r="DU60">
        <v>4623956.9373792866</v>
      </c>
      <c r="DV60">
        <v>0.242199</v>
      </c>
      <c r="DW60">
        <v>4623956.9369999999</v>
      </c>
      <c r="DX60">
        <v>0.25259999999999999</v>
      </c>
    </row>
  </sheetData>
  <autoFilter ref="A5:DX60" xr:uid="{C253F07C-E477-47F1-8E72-D3B252AFF90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62CE-F3C9-463E-9C05-BED0C3CF1C01}">
  <sheetPr codeName="Sheet6"/>
  <dimension ref="A2:DE59"/>
  <sheetViews>
    <sheetView tabSelected="1" zoomScaleNormal="100" workbookViewId="0">
      <pane xSplit="1" topLeftCell="AX1" activePane="topRight" state="frozen"/>
      <selection activeCell="A3" sqref="A3"/>
      <selection pane="topRight" activeCell="BC5" sqref="BC5"/>
    </sheetView>
  </sheetViews>
  <sheetFormatPr defaultRowHeight="14.5" x14ac:dyDescent="0.35"/>
  <cols>
    <col min="1" max="1" width="19.90625" customWidth="1"/>
    <col min="2" max="2" width="63.54296875" bestFit="1" customWidth="1"/>
    <col min="3" max="3" width="13.26953125" bestFit="1" customWidth="1"/>
    <col min="4" max="4" width="12.26953125" bestFit="1" customWidth="1"/>
    <col min="5" max="5" width="15.36328125" customWidth="1"/>
    <col min="6" max="6" width="13.26953125" bestFit="1" customWidth="1"/>
    <col min="7" max="7" width="18.6328125" customWidth="1"/>
    <col min="8" max="8" width="8" bestFit="1" customWidth="1"/>
    <col min="9" max="9" width="13.26953125" bestFit="1" customWidth="1"/>
    <col min="10" max="10" width="34.7265625" bestFit="1" customWidth="1"/>
    <col min="11" max="11" width="8" bestFit="1" customWidth="1"/>
    <col min="12" max="12" width="13.26953125" bestFit="1" customWidth="1"/>
    <col min="13" max="13" width="34.7265625" bestFit="1" customWidth="1"/>
    <col min="14" max="14" width="8" bestFit="1" customWidth="1"/>
    <col min="15" max="15" width="11.6328125" bestFit="1" customWidth="1"/>
    <col min="16" max="16" width="35.54296875" bestFit="1" customWidth="1"/>
    <col min="17" max="17" width="8" bestFit="1" customWidth="1"/>
    <col min="18" max="18" width="11.6328125" bestFit="1" customWidth="1"/>
    <col min="19" max="19" width="35.54296875" bestFit="1" customWidth="1"/>
    <col min="20" max="20" width="8" bestFit="1" customWidth="1"/>
    <col min="21" max="21" width="12.7265625" bestFit="1" customWidth="1"/>
    <col min="22" max="22" width="39.26953125" bestFit="1" customWidth="1"/>
    <col min="23" max="23" width="8" bestFit="1" customWidth="1"/>
    <col min="24" max="24" width="12.7265625" bestFit="1" customWidth="1"/>
    <col min="25" max="25" width="39.26953125" bestFit="1" customWidth="1"/>
    <col min="26" max="26" width="8" bestFit="1" customWidth="1"/>
    <col min="27" max="27" width="13.1796875" bestFit="1" customWidth="1"/>
    <col min="28" max="28" width="18.36328125" bestFit="1" customWidth="1"/>
    <col min="29" max="29" width="8" bestFit="1" customWidth="1"/>
    <col min="30" max="30" width="13.1796875" bestFit="1" customWidth="1"/>
    <col min="31" max="31" width="18.36328125" bestFit="1" customWidth="1"/>
    <col min="32" max="32" width="8" bestFit="1" customWidth="1"/>
    <col min="33" max="33" width="13.26953125" bestFit="1" customWidth="1"/>
    <col min="34" max="34" width="32.81640625" bestFit="1" customWidth="1"/>
    <col min="35" max="35" width="8" bestFit="1" customWidth="1"/>
    <col min="36" max="36" width="13.26953125" bestFit="1" customWidth="1"/>
    <col min="37" max="37" width="32.81640625" bestFit="1" customWidth="1"/>
    <col min="38" max="38" width="8" bestFit="1" customWidth="1"/>
    <col min="39" max="39" width="17.6328125" customWidth="1"/>
    <col min="40" max="40" width="16.7265625" bestFit="1" customWidth="1"/>
    <col min="41" max="41" width="8" bestFit="1" customWidth="1"/>
    <col min="42" max="42" width="15.90625" customWidth="1"/>
    <col min="43" max="43" width="16.7265625" bestFit="1" customWidth="1"/>
    <col min="44" max="44" width="8" bestFit="1" customWidth="1"/>
    <col min="45" max="45" width="11" bestFit="1" customWidth="1"/>
    <col min="46" max="46" width="27.81640625" bestFit="1" customWidth="1"/>
    <col min="47" max="47" width="8" bestFit="1" customWidth="1"/>
    <col min="48" max="48" width="10.08984375" bestFit="1" customWidth="1"/>
    <col min="49" max="49" width="27.81640625" bestFit="1" customWidth="1"/>
    <col min="50" max="50" width="8" bestFit="1" customWidth="1"/>
    <col min="51" max="51" width="23.36328125" customWidth="1"/>
    <col min="52" max="52" width="44.36328125" bestFit="1" customWidth="1"/>
    <col min="53" max="53" width="8" bestFit="1" customWidth="1"/>
    <col min="54" max="54" width="18.08984375" customWidth="1"/>
    <col min="55" max="55" width="15.7265625" customWidth="1"/>
    <col min="56" max="56" width="18.90625" bestFit="1" customWidth="1"/>
    <col min="57" max="57" width="41.36328125" bestFit="1" customWidth="1"/>
    <col min="58" max="58" width="8" bestFit="1" customWidth="1"/>
    <col min="59" max="59" width="17.36328125" bestFit="1" customWidth="1"/>
    <col min="60" max="60" width="40" bestFit="1" customWidth="1"/>
    <col min="61" max="61" width="8" bestFit="1" customWidth="1"/>
    <col min="62" max="62" width="11" bestFit="1" customWidth="1"/>
    <col min="63" max="63" width="21.54296875" bestFit="1" customWidth="1"/>
    <col min="64" max="64" width="8" bestFit="1" customWidth="1"/>
    <col min="65" max="65" width="15" style="8" bestFit="1" customWidth="1"/>
    <col min="66" max="66" width="31.7265625" style="8" customWidth="1"/>
    <col min="67" max="67" width="12.453125" style="9" bestFit="1" customWidth="1"/>
    <col min="68" max="68" width="24.7265625" customWidth="1"/>
    <col min="69" max="69" width="45.08984375" customWidth="1"/>
    <col min="70" max="70" width="8" bestFit="1" customWidth="1"/>
    <col min="71" max="71" width="15.26953125" customWidth="1"/>
    <col min="72" max="72" width="16.6328125" bestFit="1" customWidth="1"/>
    <col min="73" max="73" width="17.1796875" customWidth="1"/>
    <col min="74" max="74" width="14.453125" style="23" bestFit="1" customWidth="1"/>
    <col min="75" max="75" width="16.6328125" style="19" bestFit="1" customWidth="1"/>
    <col min="76" max="76" width="8" bestFit="1" customWidth="1"/>
    <col min="77" max="77" width="12.08984375" bestFit="1" customWidth="1"/>
    <col min="78" max="78" width="33" bestFit="1" customWidth="1"/>
    <col min="79" max="79" width="8" bestFit="1" customWidth="1"/>
    <col min="80" max="80" width="11.1796875" bestFit="1" customWidth="1"/>
    <col min="81" max="81" width="28.08984375" bestFit="1" customWidth="1"/>
    <col min="82" max="82" width="11.81640625" bestFit="1" customWidth="1"/>
    <col min="83" max="83" width="13.08984375" bestFit="1" customWidth="1"/>
    <col min="84" max="84" width="40.54296875" bestFit="1" customWidth="1"/>
    <col min="85" max="85" width="8" bestFit="1" customWidth="1"/>
    <col min="86" max="86" width="20.90625" bestFit="1" customWidth="1"/>
    <col min="87" max="87" width="36.36328125" bestFit="1" customWidth="1"/>
    <col min="88" max="88" width="8" bestFit="1" customWidth="1"/>
    <col min="89" max="89" width="11.1796875" bestFit="1" customWidth="1"/>
    <col min="90" max="90" width="35.1796875" bestFit="1" customWidth="1"/>
    <col min="91" max="91" width="8" bestFit="1" customWidth="1"/>
    <col min="92" max="92" width="11.453125" style="8" bestFit="1" customWidth="1"/>
    <col min="93" max="93" width="40.1796875" style="8" bestFit="1" customWidth="1"/>
    <col min="94" max="94" width="8" bestFit="1" customWidth="1"/>
    <col min="95" max="95" width="14" bestFit="1" customWidth="1"/>
    <col min="96" max="96" width="24.7265625" bestFit="1" customWidth="1"/>
    <col min="97" max="97" width="8" bestFit="1" customWidth="1"/>
    <col min="98" max="98" width="11.36328125" bestFit="1" customWidth="1"/>
    <col min="99" max="99" width="22.90625" bestFit="1" customWidth="1"/>
    <col min="100" max="100" width="8" bestFit="1" customWidth="1"/>
    <col min="101" max="101" width="12.08984375" bestFit="1" customWidth="1"/>
    <col min="102" max="102" width="24.36328125" bestFit="1" customWidth="1"/>
    <col min="103" max="103" width="8" bestFit="1" customWidth="1"/>
    <col min="104" max="104" width="12.08984375" bestFit="1" customWidth="1"/>
    <col min="105" max="105" width="24.36328125" bestFit="1" customWidth="1"/>
    <col min="106" max="106" width="8" bestFit="1" customWidth="1"/>
    <col min="107" max="107" width="18.90625" customWidth="1"/>
    <col min="108" max="108" width="13.36328125" bestFit="1" customWidth="1"/>
  </cols>
  <sheetData>
    <row r="2" spans="1:109" x14ac:dyDescent="0.35">
      <c r="BM2" s="27"/>
      <c r="BN2" s="27"/>
    </row>
    <row r="3" spans="1:109" x14ac:dyDescent="0.35">
      <c r="A3" s="11"/>
      <c r="B3" s="11"/>
      <c r="C3" s="11" t="s">
        <v>468</v>
      </c>
      <c r="D3" s="11" t="s">
        <v>469</v>
      </c>
      <c r="E3" s="11"/>
      <c r="F3" s="11" t="s">
        <v>470</v>
      </c>
      <c r="G3" s="11" t="s">
        <v>471</v>
      </c>
      <c r="H3" s="11"/>
      <c r="I3" s="11" t="s">
        <v>468</v>
      </c>
      <c r="J3" s="11" t="s">
        <v>469</v>
      </c>
      <c r="K3" s="11"/>
      <c r="L3" s="11" t="s">
        <v>470</v>
      </c>
      <c r="M3" s="11" t="s">
        <v>471</v>
      </c>
      <c r="N3" s="11"/>
      <c r="O3" s="11" t="s">
        <v>468</v>
      </c>
      <c r="P3" s="11" t="s">
        <v>469</v>
      </c>
      <c r="Q3" s="11"/>
      <c r="R3" s="11" t="s">
        <v>470</v>
      </c>
      <c r="S3" s="11" t="s">
        <v>471</v>
      </c>
      <c r="T3" s="11"/>
      <c r="U3" s="11" t="s">
        <v>468</v>
      </c>
      <c r="V3" s="11" t="s">
        <v>469</v>
      </c>
      <c r="W3" s="11"/>
      <c r="X3" s="11" t="s">
        <v>470</v>
      </c>
      <c r="Y3" s="11" t="s">
        <v>469</v>
      </c>
      <c r="Z3" s="11"/>
      <c r="AA3" s="11" t="s">
        <v>468</v>
      </c>
      <c r="AB3" s="11" t="s">
        <v>469</v>
      </c>
      <c r="AC3" s="11"/>
      <c r="AD3" s="11" t="s">
        <v>470</v>
      </c>
      <c r="AE3" s="11" t="s">
        <v>469</v>
      </c>
      <c r="AF3" s="11"/>
      <c r="AG3" s="11" t="s">
        <v>468</v>
      </c>
      <c r="AH3" s="11" t="s">
        <v>469</v>
      </c>
      <c r="AI3" s="11"/>
      <c r="AJ3" s="11" t="s">
        <v>470</v>
      </c>
      <c r="AK3" s="11" t="s">
        <v>472</v>
      </c>
      <c r="AL3" s="11"/>
      <c r="AM3" s="11" t="s">
        <v>468</v>
      </c>
      <c r="AN3" s="11" t="s">
        <v>469</v>
      </c>
      <c r="AO3" s="11"/>
      <c r="AP3" s="11" t="s">
        <v>470</v>
      </c>
      <c r="AQ3" s="11" t="s">
        <v>472</v>
      </c>
      <c r="AR3" s="11"/>
      <c r="AS3" s="11" t="s">
        <v>468</v>
      </c>
      <c r="AT3" s="11" t="s">
        <v>469</v>
      </c>
      <c r="AU3" s="11"/>
      <c r="AV3" s="11" t="s">
        <v>470</v>
      </c>
      <c r="AW3" s="11" t="s">
        <v>472</v>
      </c>
      <c r="AX3" s="11"/>
      <c r="AY3" s="11" t="s">
        <v>470</v>
      </c>
      <c r="AZ3" s="11" t="s">
        <v>472</v>
      </c>
      <c r="BA3" s="11"/>
      <c r="BB3" s="11" t="s">
        <v>470</v>
      </c>
      <c r="BC3" s="11" t="s">
        <v>52</v>
      </c>
      <c r="BD3" s="11" t="s">
        <v>470</v>
      </c>
      <c r="BE3" s="11" t="s">
        <v>472</v>
      </c>
      <c r="BF3" s="11"/>
      <c r="BG3" s="11" t="s">
        <v>470</v>
      </c>
      <c r="BH3" s="11" t="s">
        <v>472</v>
      </c>
      <c r="BI3" s="11"/>
      <c r="BJ3" s="11" t="s">
        <v>468</v>
      </c>
      <c r="BK3" s="11" t="s">
        <v>469</v>
      </c>
      <c r="BL3" s="11"/>
      <c r="BM3" s="12" t="s">
        <v>475</v>
      </c>
      <c r="BN3" s="12" t="s">
        <v>476</v>
      </c>
      <c r="BO3" s="16"/>
      <c r="BP3" s="11" t="s">
        <v>470</v>
      </c>
      <c r="BQ3" s="11" t="s">
        <v>472</v>
      </c>
      <c r="BR3" s="11"/>
      <c r="BS3" s="11" t="s">
        <v>468</v>
      </c>
      <c r="BT3" s="11" t="s">
        <v>469</v>
      </c>
      <c r="BU3" s="11"/>
      <c r="BV3" s="24" t="s">
        <v>470</v>
      </c>
      <c r="BW3" s="20" t="s">
        <v>472</v>
      </c>
      <c r="BX3" s="11"/>
      <c r="BY3" s="11" t="s">
        <v>468</v>
      </c>
      <c r="BZ3" s="11" t="s">
        <v>469</v>
      </c>
      <c r="CA3" s="11"/>
      <c r="CB3" s="11" t="s">
        <v>470</v>
      </c>
      <c r="CC3" s="11" t="s">
        <v>472</v>
      </c>
      <c r="CD3" s="11"/>
      <c r="CE3" s="11" t="s">
        <v>468</v>
      </c>
      <c r="CF3" s="11" t="s">
        <v>469</v>
      </c>
      <c r="CG3" s="11"/>
      <c r="CH3" s="11" t="s">
        <v>468</v>
      </c>
      <c r="CI3" s="11" t="s">
        <v>469</v>
      </c>
      <c r="CJ3" s="11"/>
      <c r="CK3" s="11" t="s">
        <v>468</v>
      </c>
      <c r="CL3" s="11" t="s">
        <v>469</v>
      </c>
      <c r="CM3" s="11"/>
      <c r="CN3" s="12" t="s">
        <v>475</v>
      </c>
      <c r="CO3" s="12" t="s">
        <v>476</v>
      </c>
      <c r="CP3" s="11"/>
      <c r="CQ3" s="11" t="s">
        <v>468</v>
      </c>
      <c r="CR3" s="11" t="s">
        <v>469</v>
      </c>
      <c r="CS3" s="11"/>
      <c r="CT3" s="11" t="s">
        <v>468</v>
      </c>
      <c r="CU3" s="11" t="s">
        <v>469</v>
      </c>
      <c r="CV3" s="11"/>
      <c r="CW3" s="11" t="s">
        <v>473</v>
      </c>
      <c r="CX3" s="11" t="s">
        <v>474</v>
      </c>
      <c r="CY3" s="11"/>
      <c r="CZ3" s="11" t="s">
        <v>470</v>
      </c>
      <c r="DA3" s="11" t="s">
        <v>472</v>
      </c>
      <c r="DB3" s="11"/>
      <c r="DC3" s="11" t="s">
        <v>468</v>
      </c>
      <c r="DD3" s="11" t="s">
        <v>469</v>
      </c>
      <c r="DE3" s="11"/>
    </row>
    <row r="4" spans="1:109" s="5" customFormat="1" ht="104" customHeight="1" x14ac:dyDescent="0.35">
      <c r="A4" s="6" t="s">
        <v>53</v>
      </c>
      <c r="B4" s="6" t="s">
        <v>54</v>
      </c>
      <c r="C4" s="6" t="s">
        <v>2</v>
      </c>
      <c r="D4" s="6" t="s">
        <v>3</v>
      </c>
      <c r="E4" s="6" t="s">
        <v>52</v>
      </c>
      <c r="F4" s="6" t="s">
        <v>2</v>
      </c>
      <c r="G4" s="6" t="s">
        <v>3</v>
      </c>
      <c r="H4" s="6" t="s">
        <v>52</v>
      </c>
      <c r="I4" s="6" t="s">
        <v>4</v>
      </c>
      <c r="J4" s="6" t="s">
        <v>5</v>
      </c>
      <c r="K4" s="6" t="s">
        <v>52</v>
      </c>
      <c r="L4" s="6" t="s">
        <v>4</v>
      </c>
      <c r="M4" s="6" t="s">
        <v>5</v>
      </c>
      <c r="N4" s="6" t="s">
        <v>52</v>
      </c>
      <c r="O4" s="6" t="s">
        <v>6</v>
      </c>
      <c r="P4" s="6" t="s">
        <v>7</v>
      </c>
      <c r="Q4" s="6" t="s">
        <v>52</v>
      </c>
      <c r="R4" s="6" t="s">
        <v>6</v>
      </c>
      <c r="S4" s="6" t="s">
        <v>7</v>
      </c>
      <c r="T4" s="6" t="s">
        <v>52</v>
      </c>
      <c r="U4" s="6" t="s">
        <v>8</v>
      </c>
      <c r="V4" s="6" t="s">
        <v>9</v>
      </c>
      <c r="W4" s="6" t="s">
        <v>52</v>
      </c>
      <c r="X4" s="6" t="s">
        <v>8</v>
      </c>
      <c r="Y4" s="6" t="s">
        <v>9</v>
      </c>
      <c r="Z4" s="6" t="s">
        <v>52</v>
      </c>
      <c r="AA4" s="6" t="s">
        <v>10</v>
      </c>
      <c r="AB4" s="6" t="s">
        <v>11</v>
      </c>
      <c r="AC4" s="6" t="s">
        <v>52</v>
      </c>
      <c r="AD4" s="6" t="s">
        <v>10</v>
      </c>
      <c r="AE4" s="6" t="s">
        <v>11</v>
      </c>
      <c r="AF4" s="6" t="s">
        <v>52</v>
      </c>
      <c r="AG4" s="6" t="s">
        <v>12</v>
      </c>
      <c r="AH4" s="6" t="s">
        <v>13</v>
      </c>
      <c r="AI4" s="6" t="s">
        <v>52</v>
      </c>
      <c r="AJ4" s="6" t="s">
        <v>12</v>
      </c>
      <c r="AK4" s="6" t="s">
        <v>13</v>
      </c>
      <c r="AL4" s="6" t="s">
        <v>52</v>
      </c>
      <c r="AM4" s="6" t="s">
        <v>14</v>
      </c>
      <c r="AN4" s="6" t="s">
        <v>15</v>
      </c>
      <c r="AO4" s="6" t="s">
        <v>52</v>
      </c>
      <c r="AP4" s="6" t="s">
        <v>14</v>
      </c>
      <c r="AQ4" s="6" t="s">
        <v>15</v>
      </c>
      <c r="AR4" s="6" t="s">
        <v>52</v>
      </c>
      <c r="AS4" s="6" t="s">
        <v>16</v>
      </c>
      <c r="AT4" s="6" t="s">
        <v>17</v>
      </c>
      <c r="AU4" s="6" t="s">
        <v>52</v>
      </c>
      <c r="AV4" s="6" t="s">
        <v>16</v>
      </c>
      <c r="AW4" s="6" t="s">
        <v>17</v>
      </c>
      <c r="AX4" s="6" t="s">
        <v>52</v>
      </c>
      <c r="AY4" s="6" t="s">
        <v>18</v>
      </c>
      <c r="AZ4" s="6" t="s">
        <v>19</v>
      </c>
      <c r="BA4" s="6" t="s">
        <v>52</v>
      </c>
      <c r="BB4" s="6" t="s">
        <v>272</v>
      </c>
      <c r="BC4" s="6"/>
      <c r="BD4" s="6" t="s">
        <v>20</v>
      </c>
      <c r="BE4" s="6" t="s">
        <v>21</v>
      </c>
      <c r="BF4" s="6" t="s">
        <v>52</v>
      </c>
      <c r="BG4" s="6" t="s">
        <v>22</v>
      </c>
      <c r="BH4" s="6" t="s">
        <v>23</v>
      </c>
      <c r="BI4" s="6" t="s">
        <v>52</v>
      </c>
      <c r="BJ4" s="6" t="s">
        <v>24</v>
      </c>
      <c r="BK4" s="6" t="s">
        <v>25</v>
      </c>
      <c r="BL4" s="6" t="s">
        <v>52</v>
      </c>
      <c r="BM4" s="15" t="s">
        <v>26</v>
      </c>
      <c r="BN4" s="15" t="s">
        <v>27</v>
      </c>
      <c r="BO4" s="17" t="s">
        <v>52</v>
      </c>
      <c r="BP4" s="6" t="s">
        <v>28</v>
      </c>
      <c r="BQ4" s="6" t="s">
        <v>29</v>
      </c>
      <c r="BR4" s="6" t="s">
        <v>52</v>
      </c>
      <c r="BS4" s="6" t="s">
        <v>30</v>
      </c>
      <c r="BT4" s="6" t="s">
        <v>31</v>
      </c>
      <c r="BU4" s="6" t="s">
        <v>52</v>
      </c>
      <c r="BV4" s="25" t="s">
        <v>30</v>
      </c>
      <c r="BW4" s="21" t="s">
        <v>31</v>
      </c>
      <c r="BX4" s="6" t="s">
        <v>52</v>
      </c>
      <c r="BY4" s="6" t="s">
        <v>32</v>
      </c>
      <c r="BZ4" s="6" t="s">
        <v>33</v>
      </c>
      <c r="CA4" s="6" t="s">
        <v>52</v>
      </c>
      <c r="CB4" s="6" t="s">
        <v>34</v>
      </c>
      <c r="CC4" s="6" t="s">
        <v>35</v>
      </c>
      <c r="CD4" s="6" t="s">
        <v>52</v>
      </c>
      <c r="CE4" s="6" t="s">
        <v>36</v>
      </c>
      <c r="CF4" s="6" t="s">
        <v>37</v>
      </c>
      <c r="CG4" s="6" t="s">
        <v>52</v>
      </c>
      <c r="CH4" s="6" t="s">
        <v>38</v>
      </c>
      <c r="CI4" s="6" t="s">
        <v>39</v>
      </c>
      <c r="CJ4" s="6" t="s">
        <v>52</v>
      </c>
      <c r="CK4" s="6" t="s">
        <v>40</v>
      </c>
      <c r="CL4" s="6" t="s">
        <v>41</v>
      </c>
      <c r="CM4" s="6" t="s">
        <v>52</v>
      </c>
      <c r="CN4" s="15" t="s">
        <v>42</v>
      </c>
      <c r="CO4" s="15" t="s">
        <v>43</v>
      </c>
      <c r="CP4" s="6" t="s">
        <v>52</v>
      </c>
      <c r="CQ4" s="6" t="s">
        <v>44</v>
      </c>
      <c r="CR4" s="6" t="s">
        <v>45</v>
      </c>
      <c r="CS4" s="6" t="s">
        <v>52</v>
      </c>
      <c r="CT4" s="6" t="s">
        <v>46</v>
      </c>
      <c r="CU4" s="6" t="s">
        <v>47</v>
      </c>
      <c r="CV4" s="6" t="s">
        <v>52</v>
      </c>
      <c r="CW4" s="6" t="s">
        <v>48</v>
      </c>
      <c r="CX4" s="6" t="s">
        <v>49</v>
      </c>
      <c r="CY4" s="6" t="s">
        <v>52</v>
      </c>
      <c r="CZ4" s="6" t="s">
        <v>48</v>
      </c>
      <c r="DA4" s="6" t="s">
        <v>49</v>
      </c>
      <c r="DB4" s="6" t="s">
        <v>52</v>
      </c>
      <c r="DC4" s="6" t="s">
        <v>50</v>
      </c>
      <c r="DD4" s="6" t="s">
        <v>51</v>
      </c>
      <c r="DE4" s="6" t="s">
        <v>52</v>
      </c>
    </row>
    <row r="5" spans="1:109" x14ac:dyDescent="0.35">
      <c r="A5" s="10" t="s">
        <v>115</v>
      </c>
      <c r="B5" s="10" t="s">
        <v>421</v>
      </c>
      <c r="C5" s="10">
        <f>_xlfn.XLOOKUP(A5,'Icyte Report'!A:A,'Icyte Report'!W:W)</f>
        <v>15598314</v>
      </c>
      <c r="D5" s="10" t="str">
        <f>_xlfn.XLOOKUP(A5,'United MAMP All Components'!A:A,'United MAMP All Components'!B:B)</f>
        <v>27,730,336.00</v>
      </c>
      <c r="E5" s="10">
        <f>C5-D5</f>
        <v>-12132022</v>
      </c>
      <c r="F5" s="10">
        <f>_xlfn.XLOOKUP(A5,'Icyte Report'!A:A,'Icyte Report'!X:X)</f>
        <v>4500</v>
      </c>
      <c r="G5" s="10" t="str">
        <f>_xlfn.XLOOKUP(A5,'United MAMP All Components'!A:A,'United MAMP All Components'!C:C)</f>
        <v>8,000.00</v>
      </c>
      <c r="H5" s="10">
        <f>F5-G5</f>
        <v>-3500</v>
      </c>
      <c r="I5" s="10">
        <f>_xlfn.XLOOKUP(A5,'Icyte Report'!A:A,'Icyte Report'!Y:Y)</f>
        <v>0</v>
      </c>
      <c r="J5" s="10" t="str">
        <f>_xlfn.XLOOKUP(A5,'United MAMP All Components'!A:A,'United MAMP All Components'!E:E)</f>
        <v>0.00</v>
      </c>
      <c r="K5" s="10">
        <f>I5-J5</f>
        <v>0</v>
      </c>
      <c r="L5" s="10">
        <f>_xlfn.XLOOKUP(A5,'Icyte Report'!A:A,'Icyte Report'!Z:Z)</f>
        <v>0</v>
      </c>
      <c r="M5" s="10" t="str">
        <f>_xlfn.XLOOKUP(A5,'United MAMP All Components'!A:A,'United MAMP All Components'!F:F)</f>
        <v>0.00</v>
      </c>
      <c r="N5" s="10">
        <f>L5-M5</f>
        <v>0</v>
      </c>
      <c r="O5" s="10">
        <f>_xlfn.XLOOKUP(A5,'Icyte Report'!A:A,'Icyte Report'!AA:AA)</f>
        <v>0</v>
      </c>
      <c r="P5" s="10" t="str">
        <f>_xlfn.XLOOKUP(A5,'United MAMP All Components'!A:A,'United MAMP All Components'!H:H)</f>
        <v>0.00</v>
      </c>
      <c r="Q5" s="10">
        <f>O5-P5</f>
        <v>0</v>
      </c>
      <c r="R5" s="10">
        <f>_xlfn.XLOOKUP(A5,'Icyte Report'!A:A,'Icyte Report'!AB:AB)</f>
        <v>0</v>
      </c>
      <c r="S5" s="10" t="str">
        <f>_xlfn.XLOOKUP(A5,'United MAMP All Components'!A:A,'United MAMP All Components'!I:I)</f>
        <v>0.00</v>
      </c>
      <c r="T5" s="10">
        <f>R5-S5</f>
        <v>0</v>
      </c>
      <c r="U5" s="10">
        <f>_xlfn.XLOOKUP(A5,'Icyte Report'!A:A,'Icyte Report'!AC:AC)</f>
        <v>0</v>
      </c>
      <c r="V5" s="10" t="str">
        <f>_xlfn.XLOOKUP(A5,'United MAMP All Components'!A:A,'United MAMP All Components'!K:K)</f>
        <v>0.00</v>
      </c>
      <c r="W5" s="10">
        <f>U5-V5</f>
        <v>0</v>
      </c>
      <c r="X5" s="10">
        <f>_xlfn.XLOOKUP(A5,'Icyte Report'!A:A,'Icyte Report'!AD:AD)</f>
        <v>0</v>
      </c>
      <c r="Y5" s="10" t="str">
        <f>_xlfn.XLOOKUP(A5,'United MAMP All Components'!A:A,'United MAMP All Components'!L:L)</f>
        <v>0.00</v>
      </c>
      <c r="Z5" s="10">
        <f>X5-Y5</f>
        <v>0</v>
      </c>
      <c r="AA5" s="10">
        <f>_xlfn.XLOOKUP(A5,'Icyte Report'!A:A,'Icyte Report'!AE:AE)</f>
        <v>0</v>
      </c>
      <c r="AB5" s="10" t="str">
        <f>_xlfn.XLOOKUP(A5,'United MAMP All Components'!A:A,'United MAMP All Components'!N:N)</f>
        <v>0.00</v>
      </c>
      <c r="AC5" s="10">
        <f>AA5-AB5</f>
        <v>0</v>
      </c>
      <c r="AD5" s="10">
        <f>_xlfn.XLOOKUP(A5,'Icyte Report'!A:A,'Icyte Report'!AF:AF)</f>
        <v>0</v>
      </c>
      <c r="AE5" s="10" t="str">
        <f>_xlfn.XLOOKUP(A5,'United MAMP All Components'!A:A,'United MAMP All Components'!O:O)</f>
        <v>0.00</v>
      </c>
      <c r="AF5" s="10">
        <f>AD5-AE5</f>
        <v>0</v>
      </c>
      <c r="AG5" s="10">
        <f>_xlfn.XLOOKUP(A5,'Icyte Report'!A:A,'Icyte Report'!AG:AG)</f>
        <v>0</v>
      </c>
      <c r="AH5" s="10" t="str">
        <f>_xlfn.XLOOKUP(A5,'United MAMP All Components'!A:A,'United MAMP All Components'!Q:Q)</f>
        <v>0.00</v>
      </c>
      <c r="AI5" s="10">
        <f>AG5-AH5</f>
        <v>0</v>
      </c>
      <c r="AJ5" s="10">
        <f>_xlfn.XLOOKUP(A5,'Icyte Report'!A:A,'Icyte Report'!AH:AH)</f>
        <v>0</v>
      </c>
      <c r="AK5" s="10" t="str">
        <f>_xlfn.XLOOKUP(A5,'United MAMP All Components'!A:A,'United MAMP All Components'!R:R)</f>
        <v>0.00</v>
      </c>
      <c r="AL5" s="10">
        <f>AJ5-AK5</f>
        <v>0</v>
      </c>
      <c r="AM5" s="10">
        <f>_xlfn.XLOOKUP(A5,'Icyte Report'!A:A,'Icyte Report'!AS:AS)</f>
        <v>15598314</v>
      </c>
      <c r="AN5" s="10" t="str">
        <f>_xlfn.XLOOKUP(A5,'United MAMP All Components'!A:A,'United MAMP All Components'!T:T)</f>
        <v>27,730,336.00</v>
      </c>
      <c r="AO5" s="10">
        <f>AM5-AN5</f>
        <v>-12132022</v>
      </c>
      <c r="AP5" s="10">
        <f>_xlfn.XLOOKUP(A5,'Icyte Report'!A:A,'Icyte Report'!AT:AT)</f>
        <v>4500</v>
      </c>
      <c r="AQ5" s="10" t="str">
        <f>_xlfn.XLOOKUP(A5,'United MAMP All Components'!A:A,'United MAMP All Components'!U:U)</f>
        <v>8,000.00</v>
      </c>
      <c r="AR5" s="10">
        <f>AP5-AQ5</f>
        <v>-3500</v>
      </c>
      <c r="AS5" s="10">
        <f>_xlfn.XLOOKUP(A5,'Icyte Report'!A:A,'Icyte Report'!AU:AU)</f>
        <v>0</v>
      </c>
      <c r="AT5" s="10" t="str">
        <f>_xlfn.XLOOKUP(A5,'United MAMP All Components'!A:A,'United MAMP All Components'!AO:AO)</f>
        <v>0.00</v>
      </c>
      <c r="AU5" s="10">
        <f>AS5-AT5</f>
        <v>0</v>
      </c>
      <c r="AV5" s="10">
        <f>_xlfn.XLOOKUP(A5,'Icyte Report'!A:A,'Icyte Report'!AV:AV)</f>
        <v>0</v>
      </c>
      <c r="AW5" s="10" t="str">
        <f>_xlfn.XLOOKUP(A5,'United MAMP All Components'!A:A,'United MAMP All Components'!AP:AP)</f>
        <v>0.00</v>
      </c>
      <c r="AX5" s="10">
        <f>AV5-AW5</f>
        <v>0</v>
      </c>
      <c r="AY5" s="10">
        <f>_xlfn.XLOOKUP(A5,'Icyte Report'!A:A,'Icyte Report'!BH:BH)</f>
        <v>250</v>
      </c>
      <c r="AZ5" s="10">
        <f>_xlfn.XLOOKUP(A5,'United Smoothed Indirect Inelig'!A:A,'United Smoothed Indirect Inelig'!D:D)</f>
        <v>350</v>
      </c>
      <c r="BA5" s="10">
        <f>AY5-AZ5</f>
        <v>-100</v>
      </c>
      <c r="BB5" s="10">
        <f>_xlfn.XLOOKUP(A5,'Icyte Report'!A:A,'Icyte Report'!BK:BK)</f>
        <v>0</v>
      </c>
      <c r="BC5" s="10">
        <f>(AY5+BB5)-AZ5</f>
        <v>-100</v>
      </c>
      <c r="BD5" s="10">
        <f>_xlfn.XLOOKUP(A5,'Icyte Report'!A:A,'Icyte Report'!BN:BN)</f>
        <v>0</v>
      </c>
      <c r="BE5" s="10">
        <f>_xlfn.XLOOKUP(A5,'United Smoothed Indirect Inelig'!A:A,'United Smoothed Indirect Inelig'!C:C)</f>
        <v>0</v>
      </c>
      <c r="BF5" s="10">
        <f>BD5-BE5</f>
        <v>0</v>
      </c>
      <c r="BG5" s="10">
        <f>_xlfn.XLOOKUP(A5,'Icyte Report'!A:A,'Icyte Report'!BR:BR)</f>
        <v>0</v>
      </c>
      <c r="BH5" s="10">
        <f>_xlfn.XLOOKUP(A5,'United Smoothed Indirect Inelig'!A:A,'United Smoothed Indirect Inelig'!B:B)</f>
        <v>0</v>
      </c>
      <c r="BI5" s="10">
        <f>BG5-BH5</f>
        <v>0</v>
      </c>
      <c r="BJ5" s="10">
        <f>_xlfn.XLOOKUP(A5,'Icyte Report'!A:A,'Icyte Report'!BV:BV)</f>
        <v>3466.2919999999999</v>
      </c>
      <c r="BK5" s="10">
        <f>_xlfn.XLOOKUP(A5,'United Smoothed Indirect Inelig'!A:A,'United Smoothed Indirect Inelig'!P:P)</f>
        <v>3466.29</v>
      </c>
      <c r="BL5" s="10">
        <f>BJ5-BK5</f>
        <v>1.9999999999527063E-3</v>
      </c>
      <c r="BM5" s="13">
        <f>_xlfn.XLOOKUP(A5,'Icyte Report'!A:A,'Icyte Report'!BW:BW)</f>
        <v>4.03225806452E-3</v>
      </c>
      <c r="BN5" s="13">
        <f>_xlfn.XLOOKUP(A5,'United Smoothed Indirect Inelig'!A:A,'United Smoothed Indirect Inelig'!G:G)+_xlfn.XLOOKUP(A5,'United Smoothed Indirect Inelig'!A:A,'United Smoothed Indirect Inelig'!H:H) + _xlfn.XLOOKUP(A5,'United Smoothed Indirect Inelig'!A:A,'United Smoothed Indirect Inelig'!I:I)+_xlfn.XLOOKUP(A5,'United Smoothed Indirect Inelig'!A:A,'United Smoothed Indirect Inelig'!J:J)</f>
        <v>5.5555600000000002E-3</v>
      </c>
      <c r="BO5" s="18">
        <f>BM5-BN5</f>
        <v>-1.5233019354800002E-3</v>
      </c>
      <c r="BP5" s="10">
        <f>_xlfn.XLOOKUP(A5,'Icyte Report'!A:A,'Icyte Report'!BY:BY)</f>
        <v>18.14516129032258</v>
      </c>
      <c r="BQ5" s="10">
        <f>_xlfn.XLOOKUP(A5,'United Smoothed Indirect Inelig'!A:A,'United Smoothed Indirect Inelig'!L:L)+_xlfn.XLOOKUP(A5,'United Smoothed Indirect Inelig'!A:A,'United Smoothed Indirect Inelig'!M:M) + _xlfn.XLOOKUP(A5,'United Smoothed Indirect Inelig'!A:A,'United Smoothed Indirect Inelig'!N:N)+_xlfn.XLOOKUP(A5,'United Smoothed Indirect Inelig'!A:A,'United Smoothed Indirect Inelig'!O:O)</f>
        <v>44.44</v>
      </c>
      <c r="BR5" s="10">
        <f>BP5-BQ5</f>
        <v>-26.294838709677418</v>
      </c>
      <c r="BS5" s="10">
        <f>_xlfn.XLOOKUP(A5,'Icyte Report'!A:A,'Icyte Report'!BZ:BZ)</f>
        <v>15535417.572580639</v>
      </c>
      <c r="BT5" s="10" t="str">
        <f>_xlfn.XLOOKUP(A5,'United MAMP All Components'!A:A,'United MAMP All Components'!AL:AL)</f>
        <v>27,576,278.58</v>
      </c>
      <c r="BU5" s="10">
        <f>BS5-BT5</f>
        <v>-12040861.007419359</v>
      </c>
      <c r="BV5" s="26">
        <f>_xlfn.XLOOKUP(A5,'Icyte Report'!A:A,'Icyte Report'!CA:CA)</f>
        <v>4481.8548387096771</v>
      </c>
      <c r="BW5" s="22" t="str">
        <f>_xlfn.XLOOKUP(A5,'United MAMP All Components'!A:A,'United MAMP All Components'!AM:AM)</f>
        <v>7,955.56</v>
      </c>
      <c r="BX5" s="10">
        <f>BV5-BW5</f>
        <v>-3473.7051612903233</v>
      </c>
      <c r="BY5" s="10">
        <f>_xlfn.XLOOKUP(A5,'Icyte Report'!A:A,'Icyte Report'!CD:CD)</f>
        <v>0</v>
      </c>
      <c r="BZ5" s="10" t="str">
        <f>_xlfn.XLOOKUP(A5,'United_Smoothed Price Concessio'!A:A,'United_Smoothed Price Concessio'!D:D)</f>
        <v>$0.00</v>
      </c>
      <c r="CA5" s="10">
        <f>BY5-BZ5</f>
        <v>0</v>
      </c>
      <c r="CB5" s="10">
        <f>_xlfn.XLOOKUP(A5,'Icyte Report'!A:A,'Icyte Report'!CF:CF)</f>
        <v>62000</v>
      </c>
      <c r="CC5" s="10">
        <f>_xlfn.XLOOKUP(A5,'United Smoothed Indirect Inelig'!A:A,'United Smoothed Indirect Inelig'!F:F)</f>
        <v>63000</v>
      </c>
      <c r="CD5" s="10">
        <f>CB5-CC5</f>
        <v>-1000</v>
      </c>
      <c r="CE5" s="10">
        <f>_xlfn.XLOOKUP(A5,'Icyte Report'!A:A,'Icyte Report'!CL:CL)</f>
        <v>205489288.68442619</v>
      </c>
      <c r="CF5" s="10" t="str">
        <f>_xlfn.XLOOKUP(A5,'United_Smoothed Price Concessio'!A:A,'United_Smoothed Price Concessio'!H:H)</f>
        <v>$210,762,068.80</v>
      </c>
      <c r="CG5" s="10">
        <f>CE5-CF5</f>
        <v>-5272780.1155738235</v>
      </c>
      <c r="CH5" s="10">
        <f>_xlfn.XLOOKUP(A5,'Icyte Report'!A:A,'Icyte Report'!CY:CY)</f>
        <v>0</v>
      </c>
      <c r="CI5" s="10" t="str">
        <f>_xlfn.XLOOKUP(A5,'United_Smoothed Price Concessio'!A:A,'United_Smoothed Price Concessio'!C:C)</f>
        <v>$0.00</v>
      </c>
      <c r="CJ5" s="10">
        <f>CH5-CI5</f>
        <v>0</v>
      </c>
      <c r="CK5" s="10">
        <f>_xlfn.XLOOKUP(A5,'Icyte Report'!A:A,'Icyte Report'!CZ:CZ)</f>
        <v>0</v>
      </c>
      <c r="CL5" s="10" t="str">
        <f>_xlfn.XLOOKUP(A5,'United_Smoothed Price Concessio'!A:A,'United_Smoothed Price Concessio'!G:G)</f>
        <v>$0.00</v>
      </c>
      <c r="CM5" s="10">
        <f>CK5-CL5</f>
        <v>0</v>
      </c>
      <c r="CN5" s="13">
        <f>_xlfn.XLOOKUP(A5,'Icyte Report'!A:A,'Icyte Report'!DA:DA)</f>
        <v>0</v>
      </c>
      <c r="CO5" s="13" t="str">
        <f>_xlfn.XLOOKUP(A5,'United_Smoothed Price Concessio'!A:A,'United_Smoothed Price Concessio'!I:I)</f>
        <v>0.000000%</v>
      </c>
      <c r="CP5" s="10">
        <f>CN5-CO5</f>
        <v>0</v>
      </c>
      <c r="CQ5" s="10">
        <f>_xlfn.XLOOKUP(A5,'Icyte Report'!A:A,'Icyte Report'!DB:DB)</f>
        <v>0</v>
      </c>
      <c r="CR5" s="10" t="str">
        <f>_xlfn.XLOOKUP(A5,'United MAMP All Components'!A:A,'United MAMP All Components'!AX:AX)</f>
        <v>0.00</v>
      </c>
      <c r="CS5" s="10">
        <f>CQ5-CR5</f>
        <v>0</v>
      </c>
      <c r="CT5" s="10">
        <f>_xlfn.XLOOKUP(A5,'Icyte Report'!A:A,'Icyte Report'!DC:DC)</f>
        <v>310708.35145161289</v>
      </c>
      <c r="CU5" s="10" t="str">
        <f>_xlfn.XLOOKUP(A5,'United MAMP All Components'!A:A,'United MAMP All Components'!BA:BA)</f>
        <v>551,525.57</v>
      </c>
      <c r="CV5" s="10">
        <f>CT5-CU5</f>
        <v>-240817.21854838706</v>
      </c>
      <c r="CW5" s="10">
        <f>_xlfn.XLOOKUP(A5,'Icyte Report'!A:A,'Icyte Report'!DD:DD)</f>
        <v>15224709.22112903</v>
      </c>
      <c r="CX5" s="10" t="str">
        <f>_xlfn.XLOOKUP(A5,'United MAMP All Components'!A:A,'United MAMP All Components'!BD:BD)</f>
        <v>27,024,753.01</v>
      </c>
      <c r="CY5" s="10">
        <f>CW5-CX5</f>
        <v>-11800043.788870972</v>
      </c>
      <c r="CZ5" s="10">
        <f>_xlfn.XLOOKUP(A5,'Icyte Report'!A:A,'Icyte Report'!DE:DE)</f>
        <v>4481.8548387096771</v>
      </c>
      <c r="DA5" s="10" t="str">
        <f>_xlfn.XLOOKUP(A5,'United MAMP All Components'!A:A,'United MAMP All Components'!BE:BE)</f>
        <v>7,955.56</v>
      </c>
      <c r="DB5" s="10">
        <f>CZ5-DA5</f>
        <v>-3473.7051612903233</v>
      </c>
      <c r="DC5" s="10">
        <f>_xlfn.XLOOKUP(A5,'Icyte Report'!A:A,'Icyte Report'!DI:DI)</f>
        <v>3396.9661599999999</v>
      </c>
      <c r="DD5" s="10" t="str">
        <f>_xlfn.XLOOKUP(A5,'United MAMP All Components'!A:A,'United MAMP All Components'!BG:BG)</f>
        <v>3,396.966160</v>
      </c>
      <c r="DE5" s="10">
        <f>DC5-DD5</f>
        <v>0</v>
      </c>
    </row>
    <row r="6" spans="1:109" x14ac:dyDescent="0.35">
      <c r="A6" s="10" t="s">
        <v>121</v>
      </c>
      <c r="B6" s="10" t="s">
        <v>422</v>
      </c>
      <c r="C6" s="10">
        <f>_xlfn.XLOOKUP(A6,'Icyte Report'!A:A,'Icyte Report'!W:W)</f>
        <v>3208766.4</v>
      </c>
      <c r="D6" s="10" t="str">
        <f>_xlfn.XLOOKUP(A6,'United MAMP All Components'!A:A,'United MAMP All Components'!B:B)</f>
        <v>4,571,218.80</v>
      </c>
      <c r="E6" s="10">
        <f t="shared" ref="E6:E59" si="0">C6-D6</f>
        <v>-1362452.4</v>
      </c>
      <c r="F6" s="10">
        <f>_xlfn.XLOOKUP(A6,'Icyte Report'!A:A,'Icyte Report'!X:X)</f>
        <v>60600</v>
      </c>
      <c r="G6" s="10" t="str">
        <f>_xlfn.XLOOKUP(A6,'United MAMP All Components'!A:A,'United MAMP All Components'!C:C)</f>
        <v>83,200.00</v>
      </c>
      <c r="H6" s="10">
        <f t="shared" ref="H6:H59" si="1">F6-G6</f>
        <v>-22600</v>
      </c>
      <c r="I6" s="10">
        <f>_xlfn.XLOOKUP(A6,'Icyte Report'!A:A,'Icyte Report'!Y:Y)</f>
        <v>0</v>
      </c>
      <c r="J6" s="10" t="str">
        <f>_xlfn.XLOOKUP(A6,'United MAMP All Components'!A:A,'United MAMP All Components'!E:E)</f>
        <v>0.00</v>
      </c>
      <c r="K6" s="10">
        <f t="shared" ref="K6:K59" si="2">I6-J6</f>
        <v>0</v>
      </c>
      <c r="L6" s="10">
        <f>_xlfn.XLOOKUP(A6,'Icyte Report'!A:A,'Icyte Report'!Z:Z)</f>
        <v>0</v>
      </c>
      <c r="M6" s="10" t="str">
        <f>_xlfn.XLOOKUP(A6,'United MAMP All Components'!A:A,'United MAMP All Components'!F:F)</f>
        <v>0.00</v>
      </c>
      <c r="N6" s="10">
        <f t="shared" ref="N6:N59" si="3">L6-M6</f>
        <v>0</v>
      </c>
      <c r="O6" s="10">
        <f>_xlfn.XLOOKUP(A6,'Icyte Report'!A:A,'Icyte Report'!AA:AA)</f>
        <v>0</v>
      </c>
      <c r="P6" s="10" t="str">
        <f>_xlfn.XLOOKUP(A6,'United MAMP All Components'!A:A,'United MAMP All Components'!H:H)</f>
        <v>0.00</v>
      </c>
      <c r="Q6" s="10">
        <f t="shared" ref="Q6:Q59" si="4">O6-P6</f>
        <v>0</v>
      </c>
      <c r="R6" s="10">
        <f>_xlfn.XLOOKUP(A6,'Icyte Report'!A:A,'Icyte Report'!AB:AB)</f>
        <v>0</v>
      </c>
      <c r="S6" s="10" t="str">
        <f>_xlfn.XLOOKUP(A6,'United MAMP All Components'!A:A,'United MAMP All Components'!I:I)</f>
        <v>0.00</v>
      </c>
      <c r="T6" s="10">
        <f t="shared" ref="T6:T59" si="5">R6-S6</f>
        <v>0</v>
      </c>
      <c r="U6" s="10">
        <f>_xlfn.XLOOKUP(A6,'Icyte Report'!A:A,'Icyte Report'!AC:AC)</f>
        <v>0</v>
      </c>
      <c r="V6" s="10" t="str">
        <f>_xlfn.XLOOKUP(A6,'United MAMP All Components'!A:A,'United MAMP All Components'!K:K)</f>
        <v>0.00</v>
      </c>
      <c r="W6" s="10">
        <f t="shared" ref="W6:W59" si="6">U6-V6</f>
        <v>0</v>
      </c>
      <c r="X6" s="10">
        <f>_xlfn.XLOOKUP(A6,'Icyte Report'!A:A,'Icyte Report'!AD:AD)</f>
        <v>0</v>
      </c>
      <c r="Y6" s="10" t="str">
        <f>_xlfn.XLOOKUP(A6,'United MAMP All Components'!A:A,'United MAMP All Components'!L:L)</f>
        <v>0.00</v>
      </c>
      <c r="Z6" s="10">
        <f t="shared" ref="Z6:Z59" si="7">X6-Y6</f>
        <v>0</v>
      </c>
      <c r="AA6" s="10">
        <f>_xlfn.XLOOKUP(A6,'Icyte Report'!A:A,'Icyte Report'!AE:AE)</f>
        <v>0</v>
      </c>
      <c r="AB6" s="10" t="str">
        <f>_xlfn.XLOOKUP(A6,'United MAMP All Components'!A:A,'United MAMP All Components'!N:N)</f>
        <v>0.00</v>
      </c>
      <c r="AC6" s="10">
        <f t="shared" ref="AC6:AC59" si="8">AA6-AB6</f>
        <v>0</v>
      </c>
      <c r="AD6" s="10">
        <f>_xlfn.XLOOKUP(A6,'Icyte Report'!A:A,'Icyte Report'!AF:AF)</f>
        <v>10200</v>
      </c>
      <c r="AE6" s="10" t="str">
        <f>_xlfn.XLOOKUP(A6,'United MAMP All Components'!A:A,'United MAMP All Components'!O:O)</f>
        <v>11,400.00</v>
      </c>
      <c r="AF6" s="10">
        <f t="shared" ref="AF6:AF59" si="9">AD6-AE6</f>
        <v>-1200</v>
      </c>
      <c r="AG6" s="10">
        <f>_xlfn.XLOOKUP(A6,'Icyte Report'!A:A,'Icyte Report'!AG:AG)</f>
        <v>0</v>
      </c>
      <c r="AH6" s="10" t="str">
        <f>_xlfn.XLOOKUP(A6,'United MAMP All Components'!A:A,'United MAMP All Components'!Q:Q)</f>
        <v>0.00</v>
      </c>
      <c r="AI6" s="10">
        <f t="shared" ref="AI6:AI59" si="10">AG6-AH6</f>
        <v>0</v>
      </c>
      <c r="AJ6" s="10">
        <f>_xlfn.XLOOKUP(A6,'Icyte Report'!A:A,'Icyte Report'!AH:AH)</f>
        <v>0</v>
      </c>
      <c r="AK6" s="10" t="str">
        <f>_xlfn.XLOOKUP(A6,'United MAMP All Components'!A:A,'United MAMP All Components'!R:R)</f>
        <v>0.00</v>
      </c>
      <c r="AL6" s="10">
        <f t="shared" ref="AL6:AL59" si="11">AJ6-AK6</f>
        <v>0</v>
      </c>
      <c r="AM6" s="10">
        <f>_xlfn.XLOOKUP(A6,'Icyte Report'!A:A,'Icyte Report'!AS:AS)</f>
        <v>3208766.4</v>
      </c>
      <c r="AN6" s="10" t="str">
        <f>_xlfn.XLOOKUP(A6,'United MAMP All Components'!A:A,'United MAMP All Components'!T:T)</f>
        <v>4,571,218.80</v>
      </c>
      <c r="AO6" s="10">
        <f t="shared" ref="AO6:AO59" si="12">AM6-AN6</f>
        <v>-1362452.4</v>
      </c>
      <c r="AP6" s="10">
        <f>_xlfn.XLOOKUP(A6,'Icyte Report'!A:A,'Icyte Report'!AT:AT)</f>
        <v>50400</v>
      </c>
      <c r="AQ6" s="10" t="str">
        <f>_xlfn.XLOOKUP(A6,'United MAMP All Components'!A:A,'United MAMP All Components'!U:U)</f>
        <v>71,800.00</v>
      </c>
      <c r="AR6" s="10">
        <f t="shared" ref="AR6:AR59" si="13">AP6-AQ6</f>
        <v>-21400</v>
      </c>
      <c r="AS6" s="10">
        <f>_xlfn.XLOOKUP(A6,'Icyte Report'!A:A,'Icyte Report'!AU:AU)</f>
        <v>0</v>
      </c>
      <c r="AT6" s="10" t="str">
        <f>_xlfn.XLOOKUP(A6,'United MAMP All Components'!A:A,'United MAMP All Components'!AO:AO)</f>
        <v>0.00</v>
      </c>
      <c r="AU6" s="10">
        <f t="shared" ref="AU6:AU59" si="14">AS6-AT6</f>
        <v>0</v>
      </c>
      <c r="AV6" s="10">
        <f>_xlfn.XLOOKUP(A6,'Icyte Report'!A:A,'Icyte Report'!AV:AV)</f>
        <v>0</v>
      </c>
      <c r="AW6" s="10" t="str">
        <f>_xlfn.XLOOKUP(A6,'United MAMP All Components'!A:A,'United MAMP All Components'!AP:AP)</f>
        <v>0.00</v>
      </c>
      <c r="AX6" s="10">
        <f t="shared" ref="AX6:AX59" si="15">AV6-AW6</f>
        <v>0</v>
      </c>
      <c r="AY6" s="10">
        <f>_xlfn.XLOOKUP(A6,'Icyte Report'!A:A,'Icyte Report'!BH:BH)</f>
        <v>24520</v>
      </c>
      <c r="AZ6" s="10">
        <f>_xlfn.XLOOKUP(A6,'United Smoothed Indirect Inelig'!A:A,'United Smoothed Indirect Inelig'!D:D)</f>
        <v>25240</v>
      </c>
      <c r="BA6" s="10">
        <f t="shared" ref="BA6:BA59" si="16">AY6-AZ6</f>
        <v>-720</v>
      </c>
      <c r="BB6" s="10">
        <f>_xlfn.XLOOKUP(A6,'Icyte Report'!A:A,'Icyte Report'!BK:BK)</f>
        <v>1420</v>
      </c>
      <c r="BC6" s="10">
        <f t="shared" ref="BC6:BC59" si="17">(AY6+BB6)-AZ6</f>
        <v>700</v>
      </c>
      <c r="BD6" s="10">
        <f>_xlfn.XLOOKUP(A6,'Icyte Report'!A:A,'Icyte Report'!BN:BN)</f>
        <v>0</v>
      </c>
      <c r="BE6" s="10">
        <f>_xlfn.XLOOKUP(A6,'United Smoothed Indirect Inelig'!A:A,'United Smoothed Indirect Inelig'!C:C)</f>
        <v>0</v>
      </c>
      <c r="BF6" s="10">
        <f t="shared" ref="BF6:BF59" si="18">BD6-BE6</f>
        <v>0</v>
      </c>
      <c r="BG6" s="10">
        <f>_xlfn.XLOOKUP(A6,'Icyte Report'!A:A,'Icyte Report'!BR:BR)</f>
        <v>0</v>
      </c>
      <c r="BH6" s="10">
        <f>_xlfn.XLOOKUP(A6,'United Smoothed Indirect Inelig'!A:A,'United Smoothed Indirect Inelig'!B:B)</f>
        <v>1160</v>
      </c>
      <c r="BI6" s="10">
        <f t="shared" ref="BI6:BI59" si="19">BG6-BH6</f>
        <v>-1160</v>
      </c>
      <c r="BJ6" s="10">
        <f>_xlfn.XLOOKUP(A6,'Icyte Report'!A:A,'Icyte Report'!BV:BV)</f>
        <v>63.665999999999997</v>
      </c>
      <c r="BK6" s="10">
        <f>_xlfn.XLOOKUP(A6,'United Smoothed Indirect Inelig'!A:A,'United Smoothed Indirect Inelig'!P:P)</f>
        <v>63.67</v>
      </c>
      <c r="BL6" s="10">
        <f t="shared" ref="BL6:BL59" si="20">BJ6-BK6</f>
        <v>-4.0000000000048885E-3</v>
      </c>
      <c r="BM6" s="13">
        <f>_xlfn.XLOOKUP(A6,'Icyte Report'!A:A,'Icyte Report'!BW:BW)</f>
        <v>3.3565577193680002E-2</v>
      </c>
      <c r="BN6" s="13">
        <f>_xlfn.XLOOKUP(A6,'United Smoothed Indirect Inelig'!A:A,'United Smoothed Indirect Inelig'!G:G)+_xlfn.XLOOKUP(A6,'United Smoothed Indirect Inelig'!A:A,'United Smoothed Indirect Inelig'!H:H) + _xlfn.XLOOKUP(A6,'United Smoothed Indirect Inelig'!A:A,'United Smoothed Indirect Inelig'!I:I)+_xlfn.XLOOKUP(A6,'United Smoothed Indirect Inelig'!A:A,'United Smoothed Indirect Inelig'!J:J)</f>
        <v>3.4773209999999999E-2</v>
      </c>
      <c r="BO6" s="18">
        <f t="shared" ref="BO6:BO59" si="21">BM6-BN6</f>
        <v>-1.207632806319997E-3</v>
      </c>
      <c r="BP6" s="10">
        <f>_xlfn.XLOOKUP(A6,'Icyte Report'!A:A,'Icyte Report'!BY:BY)</f>
        <v>1691.7050905613889</v>
      </c>
      <c r="BQ6" s="10">
        <f>_xlfn.XLOOKUP(A6,'United Smoothed Indirect Inelig'!A:A,'United Smoothed Indirect Inelig'!L:L)+_xlfn.XLOOKUP(A6,'United Smoothed Indirect Inelig'!A:A,'United Smoothed Indirect Inelig'!M:M) + _xlfn.XLOOKUP(A6,'United Smoothed Indirect Inelig'!A:A,'United Smoothed Indirect Inelig'!N:N)+_xlfn.XLOOKUP(A6,'United Smoothed Indirect Inelig'!A:A,'United Smoothed Indirect Inelig'!O:O)</f>
        <v>2496.71</v>
      </c>
      <c r="BR6" s="10">
        <f t="shared" ref="BR6:BR59" si="22">BP6-BQ6</f>
        <v>-805.00490943861109</v>
      </c>
      <c r="BS6" s="10">
        <f>_xlfn.XLOOKUP(A6,'Icyte Report'!A:A,'Icyte Report'!BZ:BZ)</f>
        <v>3101062.3037043191</v>
      </c>
      <c r="BT6" s="10" t="str">
        <f>_xlfn.XLOOKUP(A6,'United MAMP All Components'!A:A,'United MAMP All Components'!AL:AL)</f>
        <v>4,412,262.82</v>
      </c>
      <c r="BU6" s="10">
        <f t="shared" ref="BU6:BU59" si="23">BS6-BT6</f>
        <v>-1311200.5162956812</v>
      </c>
      <c r="BV6" s="26">
        <f>_xlfn.XLOOKUP(A6,'Icyte Report'!A:A,'Icyte Report'!CA:CA)</f>
        <v>48708.294909438613</v>
      </c>
      <c r="BW6" s="22" t="str">
        <f>_xlfn.XLOOKUP(A6,'United MAMP All Components'!A:A,'United MAMP All Components'!AM:AM)</f>
        <v>69,303.28</v>
      </c>
      <c r="BX6" s="10">
        <f t="shared" ref="BX6:BX59" si="24">BV6-BW6</f>
        <v>-20594.985090561386</v>
      </c>
      <c r="BY6" s="10">
        <f>_xlfn.XLOOKUP(A6,'Icyte Report'!A:A,'Icyte Report'!CD:CD)</f>
        <v>0</v>
      </c>
      <c r="BZ6" s="10" t="str">
        <f>_xlfn.XLOOKUP(A6,'United_Smoothed Price Concessio'!A:A,'United_Smoothed Price Concessio'!D:D)</f>
        <v>$0.00</v>
      </c>
      <c r="CA6" s="10">
        <f t="shared" ref="CA6:CA59" si="25">BY6-BZ6</f>
        <v>0</v>
      </c>
      <c r="CB6" s="10">
        <f>_xlfn.XLOOKUP(A6,'Icyte Report'!A:A,'Icyte Report'!CF:CF)</f>
        <v>772815.55</v>
      </c>
      <c r="CC6" s="10">
        <f>_xlfn.XLOOKUP(A6,'United Smoothed Indirect Inelig'!A:A,'United Smoothed Indirect Inelig'!F:F)</f>
        <v>759205</v>
      </c>
      <c r="CD6" s="10">
        <f t="shared" ref="CD6:CD59" si="26">CB6-CC6</f>
        <v>13610.550000000047</v>
      </c>
      <c r="CE6" s="10">
        <f>_xlfn.XLOOKUP(A6,'Icyte Report'!A:A,'Icyte Report'!CL:CL)</f>
        <v>46902581.678999998</v>
      </c>
      <c r="CF6" s="10" t="str">
        <f>_xlfn.XLOOKUP(A6,'United_Smoothed Price Concessio'!A:A,'United_Smoothed Price Concessio'!H:H)</f>
        <v>$46,654,763.96</v>
      </c>
      <c r="CG6" s="10">
        <f t="shared" ref="CG6:CG59" si="27">CE6-CF6</f>
        <v>247817.71899999678</v>
      </c>
      <c r="CH6" s="10">
        <f>_xlfn.XLOOKUP(A6,'Icyte Report'!A:A,'Icyte Report'!CY:CY)</f>
        <v>3555110.3721670131</v>
      </c>
      <c r="CI6" s="10" t="str">
        <f>_xlfn.XLOOKUP(A6,'United_Smoothed Price Concessio'!A:A,'United_Smoothed Price Concessio'!C:C)</f>
        <v>$3,500,908.00</v>
      </c>
      <c r="CJ6" s="10">
        <f t="shared" ref="CJ6:CJ59" si="28">CH6-CI6</f>
        <v>54202.37216701312</v>
      </c>
      <c r="CK6" s="10">
        <f>_xlfn.XLOOKUP(A6,'Icyte Report'!A:A,'Icyte Report'!CZ:CZ)</f>
        <v>3555110.3721670131</v>
      </c>
      <c r="CL6" s="10" t="str">
        <f>_xlfn.XLOOKUP(A6,'United_Smoothed Price Concessio'!A:A,'United_Smoothed Price Concessio'!G:G)</f>
        <v>$3,500,908.00</v>
      </c>
      <c r="CM6" s="10">
        <f t="shared" ref="CM6:CM59" si="29">CK6-CL6</f>
        <v>54202.37216701312</v>
      </c>
      <c r="CN6" s="13">
        <f>_xlfn.XLOOKUP(A6,'Icyte Report'!A:A,'Icyte Report'!DA:DA)</f>
        <v>7.5797754513769994E-2</v>
      </c>
      <c r="CO6" s="13" t="str">
        <f>_xlfn.XLOOKUP(A6,'United_Smoothed Price Concessio'!A:A,'United_Smoothed Price Concessio'!I:I)</f>
        <v>7.503860%</v>
      </c>
      <c r="CP6" s="10">
        <f t="shared" ref="CP6:CP59" si="30">CN6-CO6</f>
        <v>7.5915451376999676E-4</v>
      </c>
      <c r="CQ6" s="10">
        <f>_xlfn.XLOOKUP(A6,'Icyte Report'!A:A,'Icyte Report'!DB:DB)</f>
        <v>235053.55922809421</v>
      </c>
      <c r="CR6" s="10" t="str">
        <f>_xlfn.XLOOKUP(A6,'United MAMP All Components'!A:A,'United MAMP All Components'!AX:AX)</f>
        <v>331,090.01</v>
      </c>
      <c r="CS6" s="10">
        <f t="shared" ref="CS6:CS59" si="31">CQ6-CR6</f>
        <v>-96036.450771905802</v>
      </c>
      <c r="CT6" s="10">
        <f>_xlfn.XLOOKUP(A6,'Icyte Report'!A:A,'Icyte Report'!DC:DC)</f>
        <v>62021.246074086368</v>
      </c>
      <c r="CU6" s="10" t="str">
        <f>_xlfn.XLOOKUP(A6,'United MAMP All Components'!A:A,'United MAMP All Components'!BA:BA)</f>
        <v>88,245.26</v>
      </c>
      <c r="CV6" s="10">
        <f t="shared" ref="CV6:CV59" si="32">CT6-CU6</f>
        <v>-26224.013925913627</v>
      </c>
      <c r="CW6" s="10">
        <f>_xlfn.XLOOKUP(A6,'Icyte Report'!A:A,'Icyte Report'!DD:DD)</f>
        <v>2803987.4984021378</v>
      </c>
      <c r="CX6" s="10" t="str">
        <f>_xlfn.XLOOKUP(A6,'United MAMP All Components'!A:A,'United MAMP All Components'!BD:BD)</f>
        <v>3,992,927.55</v>
      </c>
      <c r="CY6" s="10">
        <f t="shared" ref="CY6:CY59" si="33">CW6-CX6</f>
        <v>-1188940.051597862</v>
      </c>
      <c r="CZ6" s="10">
        <f>_xlfn.XLOOKUP(A6,'Icyte Report'!A:A,'Icyte Report'!DE:DE)</f>
        <v>48708.294909438613</v>
      </c>
      <c r="DA6" s="10" t="str">
        <f>_xlfn.XLOOKUP(A6,'United MAMP All Components'!A:A,'United MAMP All Components'!BE:BE)</f>
        <v>69,303.28</v>
      </c>
      <c r="DB6" s="10">
        <f t="shared" ref="DB6:DB59" si="34">CZ6-DA6</f>
        <v>-20594.985090561386</v>
      </c>
      <c r="DC6" s="10">
        <f>_xlfn.XLOOKUP(A6,'Icyte Report'!A:A,'Icyte Report'!DI:DI)</f>
        <v>57.566940000000002</v>
      </c>
      <c r="DD6" s="10" t="str">
        <f>_xlfn.XLOOKUP(A6,'United MAMP All Components'!A:A,'United MAMP All Components'!BG:BG)</f>
        <v>57.615273</v>
      </c>
      <c r="DE6" s="10">
        <f t="shared" ref="DE6:DE59" si="35">DC6-DD6</f>
        <v>-4.8332999999999515E-2</v>
      </c>
    </row>
    <row r="7" spans="1:109" x14ac:dyDescent="0.35">
      <c r="A7" s="10" t="s">
        <v>125</v>
      </c>
      <c r="B7" s="10" t="s">
        <v>423</v>
      </c>
      <c r="C7" s="10">
        <f>_xlfn.XLOOKUP(A7,'Icyte Report'!A:A,'Icyte Report'!W:W)</f>
        <v>4934115</v>
      </c>
      <c r="D7" s="10" t="str">
        <f>_xlfn.XLOOKUP(A7,'United MAMP All Components'!A:A,'United MAMP All Components'!B:B)</f>
        <v>5,952,771.00</v>
      </c>
      <c r="E7" s="10">
        <f t="shared" si="0"/>
        <v>-1018656</v>
      </c>
      <c r="F7" s="10">
        <f>_xlfn.XLOOKUP(A7,'Icyte Report'!A:A,'Icyte Report'!X:X)</f>
        <v>35600</v>
      </c>
      <c r="G7" s="10" t="str">
        <f>_xlfn.XLOOKUP(A7,'United MAMP All Components'!A:A,'United MAMP All Components'!C:C)</f>
        <v>43,200.00</v>
      </c>
      <c r="H7" s="10">
        <f t="shared" si="1"/>
        <v>-7600</v>
      </c>
      <c r="I7" s="10">
        <f>_xlfn.XLOOKUP(A7,'Icyte Report'!A:A,'Icyte Report'!Y:Y)</f>
        <v>0</v>
      </c>
      <c r="J7" s="10" t="str">
        <f>_xlfn.XLOOKUP(A7,'United MAMP All Components'!A:A,'United MAMP All Components'!E:E)</f>
        <v>0.00</v>
      </c>
      <c r="K7" s="10">
        <f t="shared" si="2"/>
        <v>0</v>
      </c>
      <c r="L7" s="10">
        <f>_xlfn.XLOOKUP(A7,'Icyte Report'!A:A,'Icyte Report'!Z:Z)</f>
        <v>0</v>
      </c>
      <c r="M7" s="10" t="str">
        <f>_xlfn.XLOOKUP(A7,'United MAMP All Components'!A:A,'United MAMP All Components'!F:F)</f>
        <v>0.00</v>
      </c>
      <c r="N7" s="10">
        <f t="shared" si="3"/>
        <v>0</v>
      </c>
      <c r="O7" s="10">
        <f>_xlfn.XLOOKUP(A7,'Icyte Report'!A:A,'Icyte Report'!AA:AA)</f>
        <v>0</v>
      </c>
      <c r="P7" s="10" t="str">
        <f>_xlfn.XLOOKUP(A7,'United MAMP All Components'!A:A,'United MAMP All Components'!H:H)</f>
        <v>0.00</v>
      </c>
      <c r="Q7" s="10">
        <f t="shared" si="4"/>
        <v>0</v>
      </c>
      <c r="R7" s="10">
        <f>_xlfn.XLOOKUP(A7,'Icyte Report'!A:A,'Icyte Report'!AB:AB)</f>
        <v>0</v>
      </c>
      <c r="S7" s="10" t="str">
        <f>_xlfn.XLOOKUP(A7,'United MAMP All Components'!A:A,'United MAMP All Components'!I:I)</f>
        <v>0.00</v>
      </c>
      <c r="T7" s="10">
        <f t="shared" si="5"/>
        <v>0</v>
      </c>
      <c r="U7" s="10">
        <f>_xlfn.XLOOKUP(A7,'Icyte Report'!A:A,'Icyte Report'!AC:AC)</f>
        <v>0</v>
      </c>
      <c r="V7" s="10" t="str">
        <f>_xlfn.XLOOKUP(A7,'United MAMP All Components'!A:A,'United MAMP All Components'!K:K)</f>
        <v>0.00</v>
      </c>
      <c r="W7" s="10">
        <f t="shared" si="6"/>
        <v>0</v>
      </c>
      <c r="X7" s="10">
        <f>_xlfn.XLOOKUP(A7,'Icyte Report'!A:A,'Icyte Report'!AD:AD)</f>
        <v>0</v>
      </c>
      <c r="Y7" s="10" t="str">
        <f>_xlfn.XLOOKUP(A7,'United MAMP All Components'!A:A,'United MAMP All Components'!L:L)</f>
        <v>0.00</v>
      </c>
      <c r="Z7" s="10">
        <f t="shared" si="7"/>
        <v>0</v>
      </c>
      <c r="AA7" s="10">
        <f>_xlfn.XLOOKUP(A7,'Icyte Report'!A:A,'Icyte Report'!AE:AE)</f>
        <v>0</v>
      </c>
      <c r="AB7" s="10" t="str">
        <f>_xlfn.XLOOKUP(A7,'United MAMP All Components'!A:A,'United MAMP All Components'!N:N)</f>
        <v>0.00</v>
      </c>
      <c r="AC7" s="10">
        <f t="shared" si="8"/>
        <v>0</v>
      </c>
      <c r="AD7" s="10">
        <f>_xlfn.XLOOKUP(A7,'Icyte Report'!A:A,'Icyte Report'!AF:AF)</f>
        <v>4600</v>
      </c>
      <c r="AE7" s="10" t="str">
        <f>_xlfn.XLOOKUP(A7,'United MAMP All Components'!A:A,'United MAMP All Components'!O:O)</f>
        <v>5,800.00</v>
      </c>
      <c r="AF7" s="10">
        <f t="shared" si="9"/>
        <v>-1200</v>
      </c>
      <c r="AG7" s="10">
        <f>_xlfn.XLOOKUP(A7,'Icyte Report'!A:A,'Icyte Report'!AG:AG)</f>
        <v>0</v>
      </c>
      <c r="AH7" s="10" t="str">
        <f>_xlfn.XLOOKUP(A7,'United MAMP All Components'!A:A,'United MAMP All Components'!Q:Q)</f>
        <v>0.00</v>
      </c>
      <c r="AI7" s="10">
        <f t="shared" si="10"/>
        <v>0</v>
      </c>
      <c r="AJ7" s="10">
        <f>_xlfn.XLOOKUP(A7,'Icyte Report'!A:A,'Icyte Report'!AH:AH)</f>
        <v>0</v>
      </c>
      <c r="AK7" s="10" t="str">
        <f>_xlfn.XLOOKUP(A7,'United MAMP All Components'!A:A,'United MAMP All Components'!R:R)</f>
        <v>0.00</v>
      </c>
      <c r="AL7" s="10">
        <f t="shared" si="11"/>
        <v>0</v>
      </c>
      <c r="AM7" s="10">
        <f>_xlfn.XLOOKUP(A7,'Icyte Report'!A:A,'Icyte Report'!AS:AS)</f>
        <v>4934115</v>
      </c>
      <c r="AN7" s="10" t="str">
        <f>_xlfn.XLOOKUP(A7,'United MAMP All Components'!A:A,'United MAMP All Components'!T:T)</f>
        <v>5,952,771.00</v>
      </c>
      <c r="AO7" s="10">
        <f t="shared" si="12"/>
        <v>-1018656</v>
      </c>
      <c r="AP7" s="10">
        <f>_xlfn.XLOOKUP(A7,'Icyte Report'!A:A,'Icyte Report'!AT:AT)</f>
        <v>31000</v>
      </c>
      <c r="AQ7" s="10" t="str">
        <f>_xlfn.XLOOKUP(A7,'United MAMP All Components'!A:A,'United MAMP All Components'!U:U)</f>
        <v>37,400.00</v>
      </c>
      <c r="AR7" s="10">
        <f t="shared" si="13"/>
        <v>-6400</v>
      </c>
      <c r="AS7" s="10">
        <f>_xlfn.XLOOKUP(A7,'Icyte Report'!A:A,'Icyte Report'!AU:AU)</f>
        <v>0</v>
      </c>
      <c r="AT7" s="10" t="str">
        <f>_xlfn.XLOOKUP(A7,'United MAMP All Components'!A:A,'United MAMP All Components'!AO:AO)</f>
        <v>0.00</v>
      </c>
      <c r="AU7" s="10">
        <f t="shared" si="14"/>
        <v>0</v>
      </c>
      <c r="AV7" s="10">
        <f>_xlfn.XLOOKUP(A7,'Icyte Report'!A:A,'Icyte Report'!AV:AV)</f>
        <v>0</v>
      </c>
      <c r="AW7" s="10" t="str">
        <f>_xlfn.XLOOKUP(A7,'United MAMP All Components'!A:A,'United MAMP All Components'!AP:AP)</f>
        <v>0.00</v>
      </c>
      <c r="AX7" s="10">
        <f t="shared" si="15"/>
        <v>0</v>
      </c>
      <c r="AY7" s="10">
        <f>_xlfn.XLOOKUP(A7,'Icyte Report'!A:A,'Icyte Report'!BH:BH)</f>
        <v>12540</v>
      </c>
      <c r="AZ7" s="10">
        <f>_xlfn.XLOOKUP(A7,'United Smoothed Indirect Inelig'!A:A,'United Smoothed Indirect Inelig'!D:D)</f>
        <v>13100</v>
      </c>
      <c r="BA7" s="10">
        <f t="shared" si="16"/>
        <v>-560</v>
      </c>
      <c r="BB7" s="10">
        <f>_xlfn.XLOOKUP(A7,'Icyte Report'!A:A,'Icyte Report'!BK:BK)</f>
        <v>4360</v>
      </c>
      <c r="BC7" s="10">
        <f t="shared" si="17"/>
        <v>3800</v>
      </c>
      <c r="BD7" s="10">
        <f>_xlfn.XLOOKUP(A7,'Icyte Report'!A:A,'Icyte Report'!BN:BN)</f>
        <v>0</v>
      </c>
      <c r="BE7" s="10">
        <f>_xlfn.XLOOKUP(A7,'United Smoothed Indirect Inelig'!A:A,'United Smoothed Indirect Inelig'!C:C)</f>
        <v>0</v>
      </c>
      <c r="BF7" s="10">
        <f t="shared" si="18"/>
        <v>0</v>
      </c>
      <c r="BG7" s="10">
        <f>_xlfn.XLOOKUP(A7,'Icyte Report'!A:A,'Icyte Report'!BR:BR)</f>
        <v>0</v>
      </c>
      <c r="BH7" s="10">
        <f>_xlfn.XLOOKUP(A7,'United Smoothed Indirect Inelig'!A:A,'United Smoothed Indirect Inelig'!B:B)</f>
        <v>4100</v>
      </c>
      <c r="BI7" s="10">
        <f t="shared" si="19"/>
        <v>-4100</v>
      </c>
      <c r="BJ7" s="10">
        <f>_xlfn.XLOOKUP(A7,'Icyte Report'!A:A,'Icyte Report'!BV:BV)</f>
        <v>159.16499999999999</v>
      </c>
      <c r="BK7" s="10">
        <f>_xlfn.XLOOKUP(A7,'United Smoothed Indirect Inelig'!A:A,'United Smoothed Indirect Inelig'!P:P)</f>
        <v>159.16999999999999</v>
      </c>
      <c r="BL7" s="10">
        <f t="shared" si="20"/>
        <v>-4.9999999999954525E-3</v>
      </c>
      <c r="BM7" s="13">
        <f>_xlfn.XLOOKUP(A7,'Icyte Report'!A:A,'Icyte Report'!BW:BW)</f>
        <v>4.1463560645239997E-2</v>
      </c>
      <c r="BN7" s="13">
        <f>_xlfn.XLOOKUP(A7,'United Smoothed Indirect Inelig'!A:A,'United Smoothed Indirect Inelig'!G:G)+_xlfn.XLOOKUP(A7,'United Smoothed Indirect Inelig'!A:A,'United Smoothed Indirect Inelig'!H:H) + _xlfn.XLOOKUP(A7,'United Smoothed Indirect Inelig'!A:A,'United Smoothed Indirect Inelig'!I:I)+_xlfn.XLOOKUP(A7,'United Smoothed Indirect Inelig'!A:A,'United Smoothed Indirect Inelig'!J:J)</f>
        <v>4.1869530000000002E-2</v>
      </c>
      <c r="BO7" s="18">
        <f t="shared" si="21"/>
        <v>-4.0596935476000517E-4</v>
      </c>
      <c r="BP7" s="10">
        <f>_xlfn.XLOOKUP(A7,'Icyte Report'!A:A,'Icyte Report'!BY:BY)</f>
        <v>1285.370380002493</v>
      </c>
      <c r="BQ7" s="10">
        <f>_xlfn.XLOOKUP(A7,'United Smoothed Indirect Inelig'!A:A,'United Smoothed Indirect Inelig'!L:L)+_xlfn.XLOOKUP(A7,'United Smoothed Indirect Inelig'!A:A,'United Smoothed Indirect Inelig'!M:M) + _xlfn.XLOOKUP(A7,'United Smoothed Indirect Inelig'!A:A,'United Smoothed Indirect Inelig'!N:N)+_xlfn.XLOOKUP(A7,'United Smoothed Indirect Inelig'!A:A,'United Smoothed Indirect Inelig'!O:O)</f>
        <v>1565.92</v>
      </c>
      <c r="BR7" s="10">
        <f t="shared" si="22"/>
        <v>-280.54961999750708</v>
      </c>
      <c r="BS7" s="10">
        <f>_xlfn.XLOOKUP(A7,'Icyte Report'!A:A,'Icyte Report'!BZ:BZ)</f>
        <v>4729529.0234669028</v>
      </c>
      <c r="BT7" s="10" t="str">
        <f>_xlfn.XLOOKUP(A7,'United MAMP All Components'!A:A,'United MAMP All Components'!AL:AL)</f>
        <v>5,703,531.32</v>
      </c>
      <c r="BU7" s="10">
        <f t="shared" si="23"/>
        <v>-974002.29653309751</v>
      </c>
      <c r="BV7" s="26">
        <f>_xlfn.XLOOKUP(A7,'Icyte Report'!A:A,'Icyte Report'!CA:CA)</f>
        <v>29714.629619997511</v>
      </c>
      <c r="BW7" s="22" t="str">
        <f>_xlfn.XLOOKUP(A7,'United MAMP All Components'!A:A,'United MAMP All Components'!AM:AM)</f>
        <v>35,834.08</v>
      </c>
      <c r="BX7" s="10">
        <f t="shared" si="24"/>
        <v>-6119.4503800024904</v>
      </c>
      <c r="BY7" s="10">
        <f>_xlfn.XLOOKUP(A7,'Icyte Report'!A:A,'Icyte Report'!CD:CD)</f>
        <v>0</v>
      </c>
      <c r="BZ7" s="10" t="str">
        <f>_xlfn.XLOOKUP(A7,'United_Smoothed Price Concessio'!A:A,'United_Smoothed Price Concessio'!D:D)</f>
        <v>$0.00</v>
      </c>
      <c r="CA7" s="10">
        <f t="shared" si="25"/>
        <v>0</v>
      </c>
      <c r="CB7" s="10">
        <f>_xlfn.XLOOKUP(A7,'Icyte Report'!A:A,'Icyte Report'!CF:CF)</f>
        <v>407586.8</v>
      </c>
      <c r="CC7" s="10">
        <f>_xlfn.XLOOKUP(A7,'United Smoothed Indirect Inelig'!A:A,'United Smoothed Indirect Inelig'!F:F)</f>
        <v>410800</v>
      </c>
      <c r="CD7" s="10">
        <f t="shared" si="26"/>
        <v>-3213.2000000000116</v>
      </c>
      <c r="CE7" s="10">
        <f>_xlfn.XLOOKUP(A7,'Icyte Report'!A:A,'Icyte Report'!CL:CL)</f>
        <v>61987099.5</v>
      </c>
      <c r="CF7" s="10" t="str">
        <f>_xlfn.XLOOKUP(A7,'United_Smoothed Price Concessio'!A:A,'United_Smoothed Price Concessio'!H:H)</f>
        <v>$62,647,343.99</v>
      </c>
      <c r="CG7" s="10">
        <f t="shared" si="27"/>
        <v>-660244.49000000209</v>
      </c>
      <c r="CH7" s="10">
        <f>_xlfn.XLOOKUP(A7,'Icyte Report'!A:A,'Icyte Report'!CY:CY)</f>
        <v>4746170.2923139334</v>
      </c>
      <c r="CI7" s="10" t="str">
        <f>_xlfn.XLOOKUP(A7,'United_Smoothed Price Concessio'!A:A,'United_Smoothed Price Concessio'!C:C)</f>
        <v>$4,787,741.43</v>
      </c>
      <c r="CJ7" s="10">
        <f t="shared" si="28"/>
        <v>-41571.137686066329</v>
      </c>
      <c r="CK7" s="10">
        <f>_xlfn.XLOOKUP(A7,'Icyte Report'!A:A,'Icyte Report'!CZ:CZ)</f>
        <v>4746170.2923139334</v>
      </c>
      <c r="CL7" s="10" t="str">
        <f>_xlfn.XLOOKUP(A7,'United_Smoothed Price Concessio'!A:A,'United_Smoothed Price Concessio'!G:G)</f>
        <v>$4,787,741.43</v>
      </c>
      <c r="CM7" s="10">
        <f t="shared" si="29"/>
        <v>-41571.137686066329</v>
      </c>
      <c r="CN7" s="13">
        <f>_xlfn.XLOOKUP(A7,'Icyte Report'!A:A,'Icyte Report'!DA:DA)</f>
        <v>7.6567065253860006E-2</v>
      </c>
      <c r="CO7" s="13" t="str">
        <f>_xlfn.XLOOKUP(A7,'United_Smoothed Price Concessio'!A:A,'United_Smoothed Price Concessio'!I:I)</f>
        <v>7.642369%</v>
      </c>
      <c r="CP7" s="10">
        <f t="shared" si="30"/>
        <v>1.433752538600036E-4</v>
      </c>
      <c r="CQ7" s="10">
        <f>_xlfn.XLOOKUP(A7,'Icyte Report'!A:A,'Icyte Report'!DB:DB)</f>
        <v>362126.15735980909</v>
      </c>
      <c r="CR7" s="10" t="str">
        <f>_xlfn.XLOOKUP(A7,'United MAMP All Components'!A:A,'United MAMP All Components'!AX:AX)</f>
        <v>435,884.93</v>
      </c>
      <c r="CS7" s="10">
        <f t="shared" si="31"/>
        <v>-73758.772640190902</v>
      </c>
      <c r="CT7" s="10">
        <f>_xlfn.XLOOKUP(A7,'Icyte Report'!A:A,'Icyte Report'!DC:DC)</f>
        <v>94590.580469338063</v>
      </c>
      <c r="CU7" s="10" t="str">
        <f>_xlfn.XLOOKUP(A7,'United MAMP All Components'!A:A,'United MAMP All Components'!BA:BA)</f>
        <v>114,070.63</v>
      </c>
      <c r="CV7" s="10">
        <f t="shared" si="32"/>
        <v>-19480.049530661941</v>
      </c>
      <c r="CW7" s="10">
        <f>_xlfn.XLOOKUP(A7,'Icyte Report'!A:A,'Icyte Report'!DD:DD)</f>
        <v>4272812.2856377559</v>
      </c>
      <c r="CX7" s="10" t="str">
        <f>_xlfn.XLOOKUP(A7,'United MAMP All Components'!A:A,'United MAMP All Components'!BD:BD)</f>
        <v>5,153,575.76</v>
      </c>
      <c r="CY7" s="10">
        <f t="shared" si="33"/>
        <v>-880763.4743622439</v>
      </c>
      <c r="CZ7" s="10">
        <f>_xlfn.XLOOKUP(A7,'Icyte Report'!A:A,'Icyte Report'!DE:DE)</f>
        <v>29714.629619997511</v>
      </c>
      <c r="DA7" s="10" t="str">
        <f>_xlfn.XLOOKUP(A7,'United MAMP All Components'!A:A,'United MAMP All Components'!BE:BE)</f>
        <v>35,834.08</v>
      </c>
      <c r="DB7" s="10">
        <f t="shared" si="34"/>
        <v>-6119.4503800024904</v>
      </c>
      <c r="DC7" s="10">
        <f>_xlfn.XLOOKUP(A7,'Icyte Report'!A:A,'Icyte Report'!DI:DI)</f>
        <v>143.79490300000001</v>
      </c>
      <c r="DD7" s="10" t="str">
        <f>_xlfn.XLOOKUP(A7,'United MAMP All Components'!A:A,'United MAMP All Components'!BG:BG)</f>
        <v>143.817723</v>
      </c>
      <c r="DE7" s="10">
        <f t="shared" si="35"/>
        <v>-2.2819999999995844E-2</v>
      </c>
    </row>
    <row r="8" spans="1:109" x14ac:dyDescent="0.35">
      <c r="A8" s="10" t="s">
        <v>129</v>
      </c>
      <c r="B8" s="10" t="s">
        <v>424</v>
      </c>
      <c r="C8" s="10">
        <f>_xlfn.XLOOKUP(A8,'Icyte Report'!A:A,'Icyte Report'!W:W)</f>
        <v>8340246</v>
      </c>
      <c r="D8" s="10" t="str">
        <f>_xlfn.XLOOKUP(A8,'United MAMP All Components'!A:A,'United MAMP All Components'!B:B)</f>
        <v>11,714,544.00</v>
      </c>
      <c r="E8" s="10">
        <f t="shared" si="0"/>
        <v>-3374298</v>
      </c>
      <c r="F8" s="10">
        <f>_xlfn.XLOOKUP(A8,'Icyte Report'!A:A,'Icyte Report'!X:X)</f>
        <v>31200</v>
      </c>
      <c r="G8" s="10" t="str">
        <f>_xlfn.XLOOKUP(A8,'United MAMP All Components'!A:A,'United MAMP All Components'!C:C)</f>
        <v>43,600.00</v>
      </c>
      <c r="H8" s="10">
        <f t="shared" si="1"/>
        <v>-12400</v>
      </c>
      <c r="I8" s="10">
        <f>_xlfn.XLOOKUP(A8,'Icyte Report'!A:A,'Icyte Report'!Y:Y)</f>
        <v>0</v>
      </c>
      <c r="J8" s="10" t="str">
        <f>_xlfn.XLOOKUP(A8,'United MAMP All Components'!A:A,'United MAMP All Components'!E:E)</f>
        <v>0.00</v>
      </c>
      <c r="K8" s="10">
        <f t="shared" si="2"/>
        <v>0</v>
      </c>
      <c r="L8" s="10">
        <f>_xlfn.XLOOKUP(A8,'Icyte Report'!A:A,'Icyte Report'!Z:Z)</f>
        <v>0</v>
      </c>
      <c r="M8" s="10" t="str">
        <f>_xlfn.XLOOKUP(A8,'United MAMP All Components'!A:A,'United MAMP All Components'!F:F)</f>
        <v>0.00</v>
      </c>
      <c r="N8" s="10">
        <f t="shared" si="3"/>
        <v>0</v>
      </c>
      <c r="O8" s="10">
        <f>_xlfn.XLOOKUP(A8,'Icyte Report'!A:A,'Icyte Report'!AA:AA)</f>
        <v>0</v>
      </c>
      <c r="P8" s="10" t="str">
        <f>_xlfn.XLOOKUP(A8,'United MAMP All Components'!A:A,'United MAMP All Components'!H:H)</f>
        <v>0.00</v>
      </c>
      <c r="Q8" s="10">
        <f t="shared" si="4"/>
        <v>0</v>
      </c>
      <c r="R8" s="10">
        <f>_xlfn.XLOOKUP(A8,'Icyte Report'!A:A,'Icyte Report'!AB:AB)</f>
        <v>0</v>
      </c>
      <c r="S8" s="10" t="str">
        <f>_xlfn.XLOOKUP(A8,'United MAMP All Components'!A:A,'United MAMP All Components'!I:I)</f>
        <v>0.00</v>
      </c>
      <c r="T8" s="10">
        <f t="shared" si="5"/>
        <v>0</v>
      </c>
      <c r="U8" s="10">
        <f>_xlfn.XLOOKUP(A8,'Icyte Report'!A:A,'Icyte Report'!AC:AC)</f>
        <v>0</v>
      </c>
      <c r="V8" s="10" t="str">
        <f>_xlfn.XLOOKUP(A8,'United MAMP All Components'!A:A,'United MAMP All Components'!K:K)</f>
        <v>0.00</v>
      </c>
      <c r="W8" s="10">
        <f t="shared" si="6"/>
        <v>0</v>
      </c>
      <c r="X8" s="10">
        <f>_xlfn.XLOOKUP(A8,'Icyte Report'!A:A,'Icyte Report'!AD:AD)</f>
        <v>0</v>
      </c>
      <c r="Y8" s="10" t="str">
        <f>_xlfn.XLOOKUP(A8,'United MAMP All Components'!A:A,'United MAMP All Components'!L:L)</f>
        <v>0.00</v>
      </c>
      <c r="Z8" s="10">
        <f t="shared" si="7"/>
        <v>0</v>
      </c>
      <c r="AA8" s="10">
        <f>_xlfn.XLOOKUP(A8,'Icyte Report'!A:A,'Icyte Report'!AE:AE)</f>
        <v>0</v>
      </c>
      <c r="AB8" s="10" t="str">
        <f>_xlfn.XLOOKUP(A8,'United MAMP All Components'!A:A,'United MAMP All Components'!N:N)</f>
        <v>0.00</v>
      </c>
      <c r="AC8" s="10">
        <f t="shared" si="8"/>
        <v>0</v>
      </c>
      <c r="AD8" s="10">
        <f>_xlfn.XLOOKUP(A8,'Icyte Report'!A:A,'Icyte Report'!AF:AF)</f>
        <v>5000</v>
      </c>
      <c r="AE8" s="10" t="str">
        <f>_xlfn.XLOOKUP(A8,'United MAMP All Components'!A:A,'United MAMP All Components'!O:O)</f>
        <v>6,800.00</v>
      </c>
      <c r="AF8" s="10">
        <f t="shared" si="9"/>
        <v>-1800</v>
      </c>
      <c r="AG8" s="10">
        <f>_xlfn.XLOOKUP(A8,'Icyte Report'!A:A,'Icyte Report'!AG:AG)</f>
        <v>0</v>
      </c>
      <c r="AH8" s="10" t="str">
        <f>_xlfn.XLOOKUP(A8,'United MAMP All Components'!A:A,'United MAMP All Components'!Q:Q)</f>
        <v>0.00</v>
      </c>
      <c r="AI8" s="10">
        <f t="shared" si="10"/>
        <v>0</v>
      </c>
      <c r="AJ8" s="10">
        <f>_xlfn.XLOOKUP(A8,'Icyte Report'!A:A,'Icyte Report'!AH:AH)</f>
        <v>0</v>
      </c>
      <c r="AK8" s="10" t="str">
        <f>_xlfn.XLOOKUP(A8,'United MAMP All Components'!A:A,'United MAMP All Components'!R:R)</f>
        <v>0.00</v>
      </c>
      <c r="AL8" s="10">
        <f t="shared" si="11"/>
        <v>0</v>
      </c>
      <c r="AM8" s="10">
        <f>_xlfn.XLOOKUP(A8,'Icyte Report'!A:A,'Icyte Report'!AS:AS)</f>
        <v>8340246</v>
      </c>
      <c r="AN8" s="10" t="str">
        <f>_xlfn.XLOOKUP(A8,'United MAMP All Components'!A:A,'United MAMP All Components'!T:T)</f>
        <v>11,714,544.00</v>
      </c>
      <c r="AO8" s="10">
        <f t="shared" si="12"/>
        <v>-3374298</v>
      </c>
      <c r="AP8" s="10">
        <f>_xlfn.XLOOKUP(A8,'Icyte Report'!A:A,'Icyte Report'!AT:AT)</f>
        <v>26200</v>
      </c>
      <c r="AQ8" s="10" t="str">
        <f>_xlfn.XLOOKUP(A8,'United MAMP All Components'!A:A,'United MAMP All Components'!U:U)</f>
        <v>36,800.00</v>
      </c>
      <c r="AR8" s="10">
        <f t="shared" si="13"/>
        <v>-10600</v>
      </c>
      <c r="AS8" s="10">
        <f>_xlfn.XLOOKUP(A8,'Icyte Report'!A:A,'Icyte Report'!AU:AU)</f>
        <v>0</v>
      </c>
      <c r="AT8" s="10" t="str">
        <f>_xlfn.XLOOKUP(A8,'United MAMP All Components'!A:A,'United MAMP All Components'!AO:AO)</f>
        <v>0.00</v>
      </c>
      <c r="AU8" s="10">
        <f t="shared" si="14"/>
        <v>0</v>
      </c>
      <c r="AV8" s="10">
        <f>_xlfn.XLOOKUP(A8,'Icyte Report'!A:A,'Icyte Report'!AV:AV)</f>
        <v>0</v>
      </c>
      <c r="AW8" s="10" t="str">
        <f>_xlfn.XLOOKUP(A8,'United MAMP All Components'!A:A,'United MAMP All Components'!AP:AP)</f>
        <v>0.00</v>
      </c>
      <c r="AX8" s="10">
        <f t="shared" si="15"/>
        <v>0</v>
      </c>
      <c r="AY8" s="10">
        <f>_xlfn.XLOOKUP(A8,'Icyte Report'!A:A,'Icyte Report'!BH:BH)</f>
        <v>11660</v>
      </c>
      <c r="AZ8" s="10">
        <f>_xlfn.XLOOKUP(A8,'United Smoothed Indirect Inelig'!A:A,'United Smoothed Indirect Inelig'!D:D)</f>
        <v>12040</v>
      </c>
      <c r="BA8" s="10">
        <f t="shared" si="16"/>
        <v>-380</v>
      </c>
      <c r="BB8" s="10">
        <f>_xlfn.XLOOKUP(A8,'Icyte Report'!A:A,'Icyte Report'!BK:BK)</f>
        <v>3740</v>
      </c>
      <c r="BC8" s="10">
        <f t="shared" si="17"/>
        <v>3360</v>
      </c>
      <c r="BD8" s="10">
        <f>_xlfn.XLOOKUP(A8,'Icyte Report'!A:A,'Icyte Report'!BN:BN)</f>
        <v>0</v>
      </c>
      <c r="BE8" s="10">
        <f>_xlfn.XLOOKUP(A8,'United Smoothed Indirect Inelig'!A:A,'United Smoothed Indirect Inelig'!C:C)</f>
        <v>0</v>
      </c>
      <c r="BF8" s="10">
        <f t="shared" si="18"/>
        <v>0</v>
      </c>
      <c r="BG8" s="10">
        <f>_xlfn.XLOOKUP(A8,'Icyte Report'!A:A,'Icyte Report'!BR:BR)</f>
        <v>0</v>
      </c>
      <c r="BH8" s="10">
        <f>_xlfn.XLOOKUP(A8,'United Smoothed Indirect Inelig'!A:A,'United Smoothed Indirect Inelig'!B:B)</f>
        <v>3580</v>
      </c>
      <c r="BI8" s="10">
        <f t="shared" si="19"/>
        <v>-3580</v>
      </c>
      <c r="BJ8" s="10">
        <f>_xlfn.XLOOKUP(A8,'Icyte Report'!A:A,'Icyte Report'!BV:BV)</f>
        <v>318.33</v>
      </c>
      <c r="BK8" s="10">
        <f>_xlfn.XLOOKUP(A8,'United Smoothed Indirect Inelig'!A:A,'United Smoothed Indirect Inelig'!P:P)</f>
        <v>318.33</v>
      </c>
      <c r="BL8" s="10">
        <f t="shared" si="20"/>
        <v>0</v>
      </c>
      <c r="BM8" s="13">
        <f>_xlfn.XLOOKUP(A8,'Icyte Report'!A:A,'Icyte Report'!BW:BW)</f>
        <v>3.8837850461159999E-2</v>
      </c>
      <c r="BN8" s="13">
        <f>_xlfn.XLOOKUP(A8,'United Smoothed Indirect Inelig'!A:A,'United Smoothed Indirect Inelig'!G:G)+_xlfn.XLOOKUP(A8,'United Smoothed Indirect Inelig'!A:A,'United Smoothed Indirect Inelig'!H:H) + _xlfn.XLOOKUP(A8,'United Smoothed Indirect Inelig'!A:A,'United Smoothed Indirect Inelig'!I:I)+_xlfn.XLOOKUP(A8,'United Smoothed Indirect Inelig'!A:A,'United Smoothed Indirect Inelig'!J:J)</f>
        <v>3.9904759999999997E-2</v>
      </c>
      <c r="BO8" s="18">
        <f t="shared" si="21"/>
        <v>-1.0669095388399982E-3</v>
      </c>
      <c r="BP8" s="10">
        <f>_xlfn.XLOOKUP(A8,'Icyte Report'!A:A,'Icyte Report'!BY:BY)</f>
        <v>1017.551682082435</v>
      </c>
      <c r="BQ8" s="10">
        <f>_xlfn.XLOOKUP(A8,'United Smoothed Indirect Inelig'!A:A,'United Smoothed Indirect Inelig'!L:L)+_xlfn.XLOOKUP(A8,'United Smoothed Indirect Inelig'!A:A,'United Smoothed Indirect Inelig'!M:M) + _xlfn.XLOOKUP(A8,'United Smoothed Indirect Inelig'!A:A,'United Smoothed Indirect Inelig'!N:N)+_xlfn.XLOOKUP(A8,'United Smoothed Indirect Inelig'!A:A,'United Smoothed Indirect Inelig'!O:O)</f>
        <v>1468.5</v>
      </c>
      <c r="BR8" s="10">
        <f t="shared" si="22"/>
        <v>-450.94831791756496</v>
      </c>
      <c r="BS8" s="10">
        <f>_xlfn.XLOOKUP(A8,'Icyte Report'!A:A,'Icyte Report'!BZ:BZ)</f>
        <v>8016328.7730426984</v>
      </c>
      <c r="BT8" s="10" t="str">
        <f>_xlfn.XLOOKUP(A8,'United MAMP All Components'!A:A,'United MAMP All Components'!AL:AL)</f>
        <v>11,247,077.93</v>
      </c>
      <c r="BU8" s="10">
        <f t="shared" si="23"/>
        <v>-3230749.1569573013</v>
      </c>
      <c r="BV8" s="26">
        <f>_xlfn.XLOOKUP(A8,'Icyte Report'!A:A,'Icyte Report'!CA:CA)</f>
        <v>25182.44831791757</v>
      </c>
      <c r="BW8" s="22" t="str">
        <f>_xlfn.XLOOKUP(A8,'United MAMP All Components'!A:A,'United MAMP All Components'!AM:AM)</f>
        <v>35,331.50</v>
      </c>
      <c r="BX8" s="10">
        <f t="shared" si="24"/>
        <v>-10149.05168208243</v>
      </c>
      <c r="BY8" s="10">
        <f>_xlfn.XLOOKUP(A8,'Icyte Report'!A:A,'Icyte Report'!CD:CD)</f>
        <v>0</v>
      </c>
      <c r="BZ8" s="10" t="str">
        <f>_xlfn.XLOOKUP(A8,'United_Smoothed Price Concessio'!A:A,'United_Smoothed Price Concessio'!D:D)</f>
        <v>$0.00</v>
      </c>
      <c r="CA8" s="10">
        <f t="shared" si="25"/>
        <v>0</v>
      </c>
      <c r="CB8" s="10">
        <f>_xlfn.XLOOKUP(A8,'Icyte Report'!A:A,'Icyte Report'!CF:CF)</f>
        <v>396520.4</v>
      </c>
      <c r="CC8" s="10">
        <f>_xlfn.XLOOKUP(A8,'United Smoothed Indirect Inelig'!A:A,'United Smoothed Indirect Inelig'!F:F)</f>
        <v>391432</v>
      </c>
      <c r="CD8" s="10">
        <f t="shared" si="26"/>
        <v>5088.4000000000233</v>
      </c>
      <c r="CE8" s="10">
        <f>_xlfn.XLOOKUP(A8,'Icyte Report'!A:A,'Icyte Report'!CL:CL)</f>
        <v>119582574.478</v>
      </c>
      <c r="CF8" s="10" t="str">
        <f>_xlfn.XLOOKUP(A8,'United_Smoothed Price Concessio'!A:A,'United_Smoothed Price Concessio'!H:H)</f>
        <v>$119,632,233.96</v>
      </c>
      <c r="CG8" s="10">
        <f t="shared" si="27"/>
        <v>-49659.481999993324</v>
      </c>
      <c r="CH8" s="10">
        <f>_xlfn.XLOOKUP(A8,'Icyte Report'!A:A,'Icyte Report'!CY:CY)</f>
        <v>9124442.5470140874</v>
      </c>
      <c r="CI8" s="10" t="str">
        <f>_xlfn.XLOOKUP(A8,'United_Smoothed Price Concessio'!A:A,'United_Smoothed Price Concessio'!C:C)</f>
        <v>$8,749,774.60</v>
      </c>
      <c r="CJ8" s="10">
        <f t="shared" si="28"/>
        <v>374667.94701408781</v>
      </c>
      <c r="CK8" s="10">
        <f>_xlfn.XLOOKUP(A8,'Icyte Report'!A:A,'Icyte Report'!CZ:CZ)</f>
        <v>9124442.5470140874</v>
      </c>
      <c r="CL8" s="10" t="str">
        <f>_xlfn.XLOOKUP(A8,'United_Smoothed Price Concessio'!A:A,'United_Smoothed Price Concessio'!G:G)</f>
        <v>$8,749,774.60</v>
      </c>
      <c r="CM8" s="10">
        <f t="shared" si="29"/>
        <v>374667.94701408781</v>
      </c>
      <c r="CN8" s="13">
        <f>_xlfn.XLOOKUP(A8,'Icyte Report'!A:A,'Icyte Report'!DA:DA)</f>
        <v>7.6302442783519997E-2</v>
      </c>
      <c r="CO8" s="13" t="str">
        <f>_xlfn.XLOOKUP(A8,'United_Smoothed Price Concessio'!A:A,'United_Smoothed Price Concessio'!I:I)</f>
        <v>7.313894%</v>
      </c>
      <c r="CP8" s="10">
        <f t="shared" si="30"/>
        <v>3.1635027835199975E-3</v>
      </c>
      <c r="CQ8" s="10">
        <f>_xlfn.XLOOKUP(A8,'Icyte Report'!A:A,'Icyte Report'!DB:DB)</f>
        <v>611665.46753900731</v>
      </c>
      <c r="CR8" s="10" t="str">
        <f>_xlfn.XLOOKUP(A8,'United MAMP All Components'!A:A,'United MAMP All Components'!AX:AX)</f>
        <v>822,599.34</v>
      </c>
      <c r="CS8" s="10">
        <f t="shared" si="31"/>
        <v>-210933.87246099266</v>
      </c>
      <c r="CT8" s="10">
        <f>_xlfn.XLOOKUP(A8,'Icyte Report'!A:A,'Icyte Report'!DC:DC)</f>
        <v>160326.57546085399</v>
      </c>
      <c r="CU8" s="10" t="str">
        <f>_xlfn.XLOOKUP(A8,'United MAMP All Components'!A:A,'United MAMP All Components'!BA:BA)</f>
        <v>224,941.56</v>
      </c>
      <c r="CV8" s="10">
        <f t="shared" si="32"/>
        <v>-64614.984539146011</v>
      </c>
      <c r="CW8" s="10">
        <f>_xlfn.XLOOKUP(A8,'Icyte Report'!A:A,'Icyte Report'!DD:DD)</f>
        <v>7244336.7300428376</v>
      </c>
      <c r="CX8" s="10" t="str">
        <f>_xlfn.XLOOKUP(A8,'United MAMP All Components'!A:A,'United MAMP All Components'!BD:BD)</f>
        <v>10,199,537.03</v>
      </c>
      <c r="CY8" s="10">
        <f t="shared" si="33"/>
        <v>-2955200.2999571618</v>
      </c>
      <c r="CZ8" s="10">
        <f>_xlfn.XLOOKUP(A8,'Icyte Report'!A:A,'Icyte Report'!DE:DE)</f>
        <v>25182.44831791757</v>
      </c>
      <c r="DA8" s="10" t="str">
        <f>_xlfn.XLOOKUP(A8,'United MAMP All Components'!A:A,'United MAMP All Components'!BE:BE)</f>
        <v>35,331.50</v>
      </c>
      <c r="DB8" s="10">
        <f t="shared" si="34"/>
        <v>-10149.05168208243</v>
      </c>
      <c r="DC8" s="10">
        <f>_xlfn.XLOOKUP(A8,'Icyte Report'!A:A,'Icyte Report'!DI:DI)</f>
        <v>287.67404299999998</v>
      </c>
      <c r="DD8" s="10" t="str">
        <f>_xlfn.XLOOKUP(A8,'United MAMP All Components'!A:A,'United MAMP All Components'!BG:BG)</f>
        <v>288.681082</v>
      </c>
      <c r="DE8" s="10">
        <f t="shared" si="35"/>
        <v>-1.0070390000000202</v>
      </c>
    </row>
    <row r="9" spans="1:109" x14ac:dyDescent="0.35">
      <c r="A9" s="10" t="s">
        <v>133</v>
      </c>
      <c r="B9" s="10" t="s">
        <v>425</v>
      </c>
      <c r="C9" s="10">
        <f>_xlfn.XLOOKUP(A9,'Icyte Report'!A:A,'Icyte Report'!W:W)</f>
        <v>23811084</v>
      </c>
      <c r="D9" s="10" t="str">
        <f>_xlfn.XLOOKUP(A9,'United MAMP All Components'!A:A,'United MAMP All Components'!B:B)</f>
        <v>29,541,024.00</v>
      </c>
      <c r="E9" s="10">
        <f t="shared" si="0"/>
        <v>-5729940</v>
      </c>
      <c r="F9" s="10">
        <f>_xlfn.XLOOKUP(A9,'Icyte Report'!A:A,'Icyte Report'!X:X)</f>
        <v>42800</v>
      </c>
      <c r="G9" s="10" t="str">
        <f>_xlfn.XLOOKUP(A9,'United MAMP All Components'!A:A,'United MAMP All Components'!C:C)</f>
        <v>53,000.00</v>
      </c>
      <c r="H9" s="10">
        <f t="shared" si="1"/>
        <v>-10200</v>
      </c>
      <c r="I9" s="10">
        <f>_xlfn.XLOOKUP(A9,'Icyte Report'!A:A,'Icyte Report'!Y:Y)</f>
        <v>0</v>
      </c>
      <c r="J9" s="10" t="str">
        <f>_xlfn.XLOOKUP(A9,'United MAMP All Components'!A:A,'United MAMP All Components'!E:E)</f>
        <v>0.00</v>
      </c>
      <c r="K9" s="10">
        <f t="shared" si="2"/>
        <v>0</v>
      </c>
      <c r="L9" s="10">
        <f>_xlfn.XLOOKUP(A9,'Icyte Report'!A:A,'Icyte Report'!Z:Z)</f>
        <v>0</v>
      </c>
      <c r="M9" s="10" t="str">
        <f>_xlfn.XLOOKUP(A9,'United MAMP All Components'!A:A,'United MAMP All Components'!F:F)</f>
        <v>0.00</v>
      </c>
      <c r="N9" s="10">
        <f t="shared" si="3"/>
        <v>0</v>
      </c>
      <c r="O9" s="10">
        <f>_xlfn.XLOOKUP(A9,'Icyte Report'!A:A,'Icyte Report'!AA:AA)</f>
        <v>0</v>
      </c>
      <c r="P9" s="10" t="str">
        <f>_xlfn.XLOOKUP(A9,'United MAMP All Components'!A:A,'United MAMP All Components'!H:H)</f>
        <v>0.00</v>
      </c>
      <c r="Q9" s="10">
        <f t="shared" si="4"/>
        <v>0</v>
      </c>
      <c r="R9" s="10">
        <f>_xlfn.XLOOKUP(A9,'Icyte Report'!A:A,'Icyte Report'!AB:AB)</f>
        <v>0</v>
      </c>
      <c r="S9" s="10" t="str">
        <f>_xlfn.XLOOKUP(A9,'United MAMP All Components'!A:A,'United MAMP All Components'!I:I)</f>
        <v>0.00</v>
      </c>
      <c r="T9" s="10">
        <f t="shared" si="5"/>
        <v>0</v>
      </c>
      <c r="U9" s="10">
        <f>_xlfn.XLOOKUP(A9,'Icyte Report'!A:A,'Icyte Report'!AC:AC)</f>
        <v>0</v>
      </c>
      <c r="V9" s="10" t="str">
        <f>_xlfn.XLOOKUP(A9,'United MAMP All Components'!A:A,'United MAMP All Components'!K:K)</f>
        <v>0.00</v>
      </c>
      <c r="W9" s="10">
        <f t="shared" si="6"/>
        <v>0</v>
      </c>
      <c r="X9" s="10">
        <f>_xlfn.XLOOKUP(A9,'Icyte Report'!A:A,'Icyte Report'!AD:AD)</f>
        <v>0</v>
      </c>
      <c r="Y9" s="10" t="str">
        <f>_xlfn.XLOOKUP(A9,'United MAMP All Components'!A:A,'United MAMP All Components'!L:L)</f>
        <v>0.00</v>
      </c>
      <c r="Z9" s="10">
        <f t="shared" si="7"/>
        <v>0</v>
      </c>
      <c r="AA9" s="10">
        <f>_xlfn.XLOOKUP(A9,'Icyte Report'!A:A,'Icyte Report'!AE:AE)</f>
        <v>0</v>
      </c>
      <c r="AB9" s="10" t="str">
        <f>_xlfn.XLOOKUP(A9,'United MAMP All Components'!A:A,'United MAMP All Components'!N:N)</f>
        <v>0.00</v>
      </c>
      <c r="AC9" s="10">
        <f t="shared" si="8"/>
        <v>0</v>
      </c>
      <c r="AD9" s="10">
        <f>_xlfn.XLOOKUP(A9,'Icyte Report'!A:A,'Icyte Report'!AF:AF)</f>
        <v>5400</v>
      </c>
      <c r="AE9" s="10" t="str">
        <f>_xlfn.XLOOKUP(A9,'United MAMP All Components'!A:A,'United MAMP All Components'!O:O)</f>
        <v>6,600.00</v>
      </c>
      <c r="AF9" s="10">
        <f t="shared" si="9"/>
        <v>-1200</v>
      </c>
      <c r="AG9" s="10">
        <f>_xlfn.XLOOKUP(A9,'Icyte Report'!A:A,'Icyte Report'!AG:AG)</f>
        <v>0</v>
      </c>
      <c r="AH9" s="10" t="str">
        <f>_xlfn.XLOOKUP(A9,'United MAMP All Components'!A:A,'United MAMP All Components'!Q:Q)</f>
        <v>0.00</v>
      </c>
      <c r="AI9" s="10">
        <f t="shared" si="10"/>
        <v>0</v>
      </c>
      <c r="AJ9" s="10">
        <f>_xlfn.XLOOKUP(A9,'Icyte Report'!A:A,'Icyte Report'!AH:AH)</f>
        <v>0</v>
      </c>
      <c r="AK9" s="10" t="str">
        <f>_xlfn.XLOOKUP(A9,'United MAMP All Components'!A:A,'United MAMP All Components'!R:R)</f>
        <v>0.00</v>
      </c>
      <c r="AL9" s="10">
        <f t="shared" si="11"/>
        <v>0</v>
      </c>
      <c r="AM9" s="10">
        <f>_xlfn.XLOOKUP(A9,'Icyte Report'!A:A,'Icyte Report'!AS:AS)</f>
        <v>23811084</v>
      </c>
      <c r="AN9" s="10" t="str">
        <f>_xlfn.XLOOKUP(A9,'United MAMP All Components'!A:A,'United MAMP All Components'!T:T)</f>
        <v>29,541,024.00</v>
      </c>
      <c r="AO9" s="10">
        <f t="shared" si="12"/>
        <v>-5729940</v>
      </c>
      <c r="AP9" s="10">
        <f>_xlfn.XLOOKUP(A9,'Icyte Report'!A:A,'Icyte Report'!AT:AT)</f>
        <v>37400</v>
      </c>
      <c r="AQ9" s="10" t="str">
        <f>_xlfn.XLOOKUP(A9,'United MAMP All Components'!A:A,'United MAMP All Components'!U:U)</f>
        <v>46,400.00</v>
      </c>
      <c r="AR9" s="10">
        <f t="shared" si="13"/>
        <v>-9000</v>
      </c>
      <c r="AS9" s="10">
        <f>_xlfn.XLOOKUP(A9,'Icyte Report'!A:A,'Icyte Report'!AU:AU)</f>
        <v>0</v>
      </c>
      <c r="AT9" s="10" t="str">
        <f>_xlfn.XLOOKUP(A9,'United MAMP All Components'!A:A,'United MAMP All Components'!AO:AO)</f>
        <v>0.00</v>
      </c>
      <c r="AU9" s="10">
        <f t="shared" si="14"/>
        <v>0</v>
      </c>
      <c r="AV9" s="10">
        <f>_xlfn.XLOOKUP(A9,'Icyte Report'!A:A,'Icyte Report'!AV:AV)</f>
        <v>0</v>
      </c>
      <c r="AW9" s="10" t="str">
        <f>_xlfn.XLOOKUP(A9,'United MAMP All Components'!A:A,'United MAMP All Components'!AP:AP)</f>
        <v>0.00</v>
      </c>
      <c r="AX9" s="10">
        <f t="shared" si="15"/>
        <v>0</v>
      </c>
      <c r="AY9" s="10">
        <f>_xlfn.XLOOKUP(A9,'Icyte Report'!A:A,'Icyte Report'!BH:BH)</f>
        <v>19980</v>
      </c>
      <c r="AZ9" s="10">
        <f>_xlfn.XLOOKUP(A9,'United Smoothed Indirect Inelig'!A:A,'United Smoothed Indirect Inelig'!D:D)</f>
        <v>20720</v>
      </c>
      <c r="BA9" s="10">
        <f t="shared" si="16"/>
        <v>-740</v>
      </c>
      <c r="BB9" s="10">
        <f>_xlfn.XLOOKUP(A9,'Icyte Report'!A:A,'Icyte Report'!BK:BK)</f>
        <v>4088.5</v>
      </c>
      <c r="BC9" s="10">
        <f t="shared" si="17"/>
        <v>3348.5</v>
      </c>
      <c r="BD9" s="10">
        <f>_xlfn.XLOOKUP(A9,'Icyte Report'!A:A,'Icyte Report'!BN:BN)</f>
        <v>0</v>
      </c>
      <c r="BE9" s="10">
        <f>_xlfn.XLOOKUP(A9,'United Smoothed Indirect Inelig'!A:A,'United Smoothed Indirect Inelig'!C:C)</f>
        <v>0</v>
      </c>
      <c r="BF9" s="10">
        <f t="shared" si="18"/>
        <v>0</v>
      </c>
      <c r="BG9" s="10">
        <f>_xlfn.XLOOKUP(A9,'Icyte Report'!A:A,'Icyte Report'!BR:BR)</f>
        <v>0</v>
      </c>
      <c r="BH9" s="10">
        <f>_xlfn.XLOOKUP(A9,'United Smoothed Indirect Inelig'!A:A,'United Smoothed Indirect Inelig'!B:B)</f>
        <v>3677.5</v>
      </c>
      <c r="BI9" s="10">
        <f t="shared" si="19"/>
        <v>-3677.5</v>
      </c>
      <c r="BJ9" s="10">
        <f>_xlfn.XLOOKUP(A9,'Icyte Report'!A:A,'Icyte Report'!BV:BV)</f>
        <v>636.66</v>
      </c>
      <c r="BK9" s="10">
        <f>_xlfn.XLOOKUP(A9,'United Smoothed Indirect Inelig'!A:A,'United Smoothed Indirect Inelig'!P:P)</f>
        <v>636.66</v>
      </c>
      <c r="BL9" s="10">
        <f t="shared" si="20"/>
        <v>0</v>
      </c>
      <c r="BM9" s="13">
        <f>_xlfn.XLOOKUP(A9,'Icyte Report'!A:A,'Icyte Report'!BW:BW)</f>
        <v>4.8249305082509998E-2</v>
      </c>
      <c r="BN9" s="13">
        <f>_xlfn.XLOOKUP(A9,'United Smoothed Indirect Inelig'!A:A,'United Smoothed Indirect Inelig'!G:G)+_xlfn.XLOOKUP(A9,'United Smoothed Indirect Inelig'!A:A,'United Smoothed Indirect Inelig'!H:H) + _xlfn.XLOOKUP(A9,'United Smoothed Indirect Inelig'!A:A,'United Smoothed Indirect Inelig'!I:I)+_xlfn.XLOOKUP(A9,'United Smoothed Indirect Inelig'!A:A,'United Smoothed Indirect Inelig'!J:J)</f>
        <v>4.9028080000000002E-2</v>
      </c>
      <c r="BO9" s="18">
        <f t="shared" si="21"/>
        <v>-7.7877491749000355E-4</v>
      </c>
      <c r="BP9" s="10">
        <f>_xlfn.XLOOKUP(A9,'Icyte Report'!A:A,'Icyte Report'!BY:BY)</f>
        <v>1804.5240100858759</v>
      </c>
      <c r="BQ9" s="10">
        <f>_xlfn.XLOOKUP(A9,'United Smoothed Indirect Inelig'!A:A,'United Smoothed Indirect Inelig'!L:L)+_xlfn.XLOOKUP(A9,'United Smoothed Indirect Inelig'!A:A,'United Smoothed Indirect Inelig'!M:M) + _xlfn.XLOOKUP(A9,'United Smoothed Indirect Inelig'!A:A,'United Smoothed Indirect Inelig'!N:N)+_xlfn.XLOOKUP(A9,'United Smoothed Indirect Inelig'!A:A,'United Smoothed Indirect Inelig'!O:O)</f>
        <v>2274.9</v>
      </c>
      <c r="BR9" s="10">
        <f t="shared" si="22"/>
        <v>-470.37598991412415</v>
      </c>
      <c r="BS9" s="10">
        <f>_xlfn.XLOOKUP(A9,'Icyte Report'!A:A,'Icyte Report'!BZ:BZ)</f>
        <v>22662215.74373873</v>
      </c>
      <c r="BT9" s="10" t="str">
        <f>_xlfn.XLOOKUP(A9,'United MAMP All Components'!A:A,'United MAMP All Components'!AL:AL)</f>
        <v>28,092,684.33</v>
      </c>
      <c r="BU9" s="10">
        <f t="shared" si="23"/>
        <v>-5430468.5862612687</v>
      </c>
      <c r="BV9" s="26">
        <f>_xlfn.XLOOKUP(A9,'Icyte Report'!A:A,'Icyte Report'!CA:CA)</f>
        <v>35595.475989914121</v>
      </c>
      <c r="BW9" s="22" t="str">
        <f>_xlfn.XLOOKUP(A9,'United MAMP All Components'!A:A,'United MAMP All Components'!AM:AM)</f>
        <v>44,125.10</v>
      </c>
      <c r="BX9" s="10">
        <f t="shared" si="24"/>
        <v>-8529.6240100858777</v>
      </c>
      <c r="BY9" s="10">
        <f>_xlfn.XLOOKUP(A9,'Icyte Report'!A:A,'Icyte Report'!CD:CD)</f>
        <v>0</v>
      </c>
      <c r="BZ9" s="10" t="str">
        <f>_xlfn.XLOOKUP(A9,'United_Smoothed Price Concessio'!A:A,'United_Smoothed Price Concessio'!D:D)</f>
        <v>$0.00</v>
      </c>
      <c r="CA9" s="10">
        <f t="shared" si="25"/>
        <v>0</v>
      </c>
      <c r="CB9" s="10">
        <f>_xlfn.XLOOKUP(A9,'Icyte Report'!A:A,'Icyte Report'!CF:CF)</f>
        <v>498836.2</v>
      </c>
      <c r="CC9" s="10">
        <f>_xlfn.XLOOKUP(A9,'United Smoothed Indirect Inelig'!A:A,'United Smoothed Indirect Inelig'!F:F)</f>
        <v>497623</v>
      </c>
      <c r="CD9" s="10">
        <f t="shared" si="26"/>
        <v>1213.2000000000116</v>
      </c>
      <c r="CE9" s="10">
        <f>_xlfn.XLOOKUP(A9,'Icyte Report'!A:A,'Icyte Report'!CL:CL)</f>
        <v>300709988.83600003</v>
      </c>
      <c r="CF9" s="10" t="str">
        <f>_xlfn.XLOOKUP(A9,'United_Smoothed Price Concessio'!A:A,'United_Smoothed Price Concessio'!H:H)</f>
        <v>$301,283,746.83</v>
      </c>
      <c r="CG9" s="10">
        <f t="shared" si="27"/>
        <v>-573757.99399995804</v>
      </c>
      <c r="CH9" s="10">
        <f>_xlfn.XLOOKUP(A9,'Icyte Report'!A:A,'Icyte Report'!CY:CY)</f>
        <v>22613701.95691558</v>
      </c>
      <c r="CI9" s="10" t="str">
        <f>_xlfn.XLOOKUP(A9,'United_Smoothed Price Concessio'!A:A,'United_Smoothed Price Concessio'!C:C)</f>
        <v>$21,287,024.94</v>
      </c>
      <c r="CJ9" s="10">
        <f t="shared" si="28"/>
        <v>1326677.0169155784</v>
      </c>
      <c r="CK9" s="10">
        <f>_xlfn.XLOOKUP(A9,'Icyte Report'!A:A,'Icyte Report'!CZ:CZ)</f>
        <v>22613701.95691558</v>
      </c>
      <c r="CL9" s="10" t="str">
        <f>_xlfn.XLOOKUP(A9,'United_Smoothed Price Concessio'!A:A,'United_Smoothed Price Concessio'!G:G)</f>
        <v>$21,287,024.94</v>
      </c>
      <c r="CM9" s="10">
        <f t="shared" si="29"/>
        <v>1326677.0169155784</v>
      </c>
      <c r="CN9" s="13">
        <f>_xlfn.XLOOKUP(A9,'Icyte Report'!A:A,'Icyte Report'!DA:DA)</f>
        <v>7.5201033542150006E-2</v>
      </c>
      <c r="CO9" s="13" t="str">
        <f>_xlfn.XLOOKUP(A9,'United_Smoothed Price Concessio'!A:A,'United_Smoothed Price Concessio'!I:I)</f>
        <v>7.065441%</v>
      </c>
      <c r="CP9" s="10">
        <f t="shared" si="30"/>
        <v>4.5466235421500051E-3</v>
      </c>
      <c r="CQ9" s="10">
        <f>_xlfn.XLOOKUP(A9,'Icyte Report'!A:A,'Icyte Report'!DB:DB)</f>
        <v>1704222.046284335</v>
      </c>
      <c r="CR9" s="10" t="str">
        <f>_xlfn.XLOOKUP(A9,'United MAMP All Components'!A:A,'United MAMP All Components'!AX:AX)</f>
        <v>1,984,872.00</v>
      </c>
      <c r="CS9" s="10">
        <f t="shared" si="31"/>
        <v>-280649.95371566503</v>
      </c>
      <c r="CT9" s="10">
        <f>_xlfn.XLOOKUP(A9,'Icyte Report'!A:A,'Icyte Report'!DC:DC)</f>
        <v>453244.31487477449</v>
      </c>
      <c r="CU9" s="10" t="str">
        <f>_xlfn.XLOOKUP(A9,'United MAMP All Components'!A:A,'United MAMP All Components'!BA:BA)</f>
        <v>561,853.69</v>
      </c>
      <c r="CV9" s="10">
        <f t="shared" si="32"/>
        <v>-108609.37512522546</v>
      </c>
      <c r="CW9" s="10">
        <f>_xlfn.XLOOKUP(A9,'Icyte Report'!A:A,'Icyte Report'!DD:DD)</f>
        <v>20504749.382579621</v>
      </c>
      <c r="CX9" s="10" t="str">
        <f>_xlfn.XLOOKUP(A9,'United MAMP All Components'!A:A,'United MAMP All Components'!BD:BD)</f>
        <v>25,545,958.64</v>
      </c>
      <c r="CY9" s="10">
        <f t="shared" si="33"/>
        <v>-5041209.2574203797</v>
      </c>
      <c r="CZ9" s="10">
        <f>_xlfn.XLOOKUP(A9,'Icyte Report'!A:A,'Icyte Report'!DE:DE)</f>
        <v>35595.475989914121</v>
      </c>
      <c r="DA9" s="10" t="str">
        <f>_xlfn.XLOOKUP(A9,'United MAMP All Components'!A:A,'United MAMP All Components'!BE:BE)</f>
        <v>44,125.10</v>
      </c>
      <c r="DB9" s="10">
        <f t="shared" si="34"/>
        <v>-8529.6240100858777</v>
      </c>
      <c r="DC9" s="10">
        <f>_xlfn.XLOOKUP(A9,'Icyte Report'!A:A,'Icyte Report'!DI:DI)</f>
        <v>576.04930999999999</v>
      </c>
      <c r="DD9" s="10" t="str">
        <f>_xlfn.XLOOKUP(A9,'United MAMP All Components'!A:A,'United MAMP All Components'!BG:BG)</f>
        <v>578.943964</v>
      </c>
      <c r="DE9" s="10">
        <f t="shared" si="35"/>
        <v>-2.8946540000000596</v>
      </c>
    </row>
    <row r="10" spans="1:109" x14ac:dyDescent="0.35">
      <c r="A10" s="10" t="s">
        <v>142</v>
      </c>
      <c r="B10" s="10" t="s">
        <v>426</v>
      </c>
      <c r="C10" s="10">
        <f>_xlfn.XLOOKUP(A10,'Icyte Report'!A:A,'Icyte Report'!W:W)</f>
        <v>4664394</v>
      </c>
      <c r="D10" s="10" t="str">
        <f>_xlfn.XLOOKUP(A10,'United MAMP All Components'!A:A,'United MAMP All Components'!B:B)</f>
        <v>3,731,515.20</v>
      </c>
      <c r="E10" s="10">
        <f t="shared" si="0"/>
        <v>932878.79999999981</v>
      </c>
      <c r="F10" s="10">
        <f>_xlfn.XLOOKUP(A10,'Icyte Report'!A:A,'Icyte Report'!X:X)</f>
        <v>20300</v>
      </c>
      <c r="G10" s="10" t="str">
        <f>_xlfn.XLOOKUP(A10,'United MAMP All Components'!A:A,'United MAMP All Components'!C:C)</f>
        <v>13,804.00</v>
      </c>
      <c r="H10" s="10">
        <f t="shared" si="1"/>
        <v>6496</v>
      </c>
      <c r="I10" s="10">
        <f>_xlfn.XLOOKUP(A10,'Icyte Report'!A:A,'Icyte Report'!Y:Y)</f>
        <v>0</v>
      </c>
      <c r="J10" s="10" t="str">
        <f>_xlfn.XLOOKUP(A10,'United MAMP All Components'!A:A,'United MAMP All Components'!E:E)</f>
        <v>0.00</v>
      </c>
      <c r="K10" s="10">
        <f t="shared" si="2"/>
        <v>0</v>
      </c>
      <c r="L10" s="10">
        <f>_xlfn.XLOOKUP(A10,'Icyte Report'!A:A,'Icyte Report'!Z:Z)</f>
        <v>0</v>
      </c>
      <c r="M10" s="10" t="str">
        <f>_xlfn.XLOOKUP(A10,'United MAMP All Components'!A:A,'United MAMP All Components'!F:F)</f>
        <v>0.00</v>
      </c>
      <c r="N10" s="10">
        <f t="shared" si="3"/>
        <v>0</v>
      </c>
      <c r="O10" s="10">
        <f>_xlfn.XLOOKUP(A10,'Icyte Report'!A:A,'Icyte Report'!AA:AA)</f>
        <v>0</v>
      </c>
      <c r="P10" s="10" t="str">
        <f>_xlfn.XLOOKUP(A10,'United MAMP All Components'!A:A,'United MAMP All Components'!H:H)</f>
        <v>0.00</v>
      </c>
      <c r="Q10" s="10">
        <f t="shared" si="4"/>
        <v>0</v>
      </c>
      <c r="R10" s="10">
        <f>_xlfn.XLOOKUP(A10,'Icyte Report'!A:A,'Icyte Report'!AB:AB)</f>
        <v>0</v>
      </c>
      <c r="S10" s="10" t="str">
        <f>_xlfn.XLOOKUP(A10,'United MAMP All Components'!A:A,'United MAMP All Components'!I:I)</f>
        <v>0.00</v>
      </c>
      <c r="T10" s="10">
        <f t="shared" si="5"/>
        <v>0</v>
      </c>
      <c r="U10" s="10">
        <f>_xlfn.XLOOKUP(A10,'Icyte Report'!A:A,'Icyte Report'!AC:AC)</f>
        <v>0</v>
      </c>
      <c r="V10" s="10" t="str">
        <f>_xlfn.XLOOKUP(A10,'United MAMP All Components'!A:A,'United MAMP All Components'!K:K)</f>
        <v>0.00</v>
      </c>
      <c r="W10" s="10">
        <f t="shared" si="6"/>
        <v>0</v>
      </c>
      <c r="X10" s="10">
        <f>_xlfn.XLOOKUP(A10,'Icyte Report'!A:A,'Icyte Report'!AD:AD)</f>
        <v>0</v>
      </c>
      <c r="Y10" s="10" t="str">
        <f>_xlfn.XLOOKUP(A10,'United MAMP All Components'!A:A,'United MAMP All Components'!L:L)</f>
        <v>0.00</v>
      </c>
      <c r="Z10" s="10">
        <f t="shared" si="7"/>
        <v>0</v>
      </c>
      <c r="AA10" s="10">
        <f>_xlfn.XLOOKUP(A10,'Icyte Report'!A:A,'Icyte Report'!AE:AE)</f>
        <v>0</v>
      </c>
      <c r="AB10" s="10" t="str">
        <f>_xlfn.XLOOKUP(A10,'United MAMP All Components'!A:A,'United MAMP All Components'!N:N)</f>
        <v>0.00</v>
      </c>
      <c r="AC10" s="10">
        <f t="shared" si="8"/>
        <v>0</v>
      </c>
      <c r="AD10" s="10">
        <f>_xlfn.XLOOKUP(A10,'Icyte Report'!A:A,'Icyte Report'!AF:AF)</f>
        <v>4060</v>
      </c>
      <c r="AE10" s="10" t="str">
        <f>_xlfn.XLOOKUP(A10,'United MAMP All Components'!A:A,'United MAMP All Components'!O:O)</f>
        <v>812.00</v>
      </c>
      <c r="AF10" s="10">
        <f t="shared" si="9"/>
        <v>3248</v>
      </c>
      <c r="AG10" s="10">
        <f>_xlfn.XLOOKUP(A10,'Icyte Report'!A:A,'Icyte Report'!AG:AG)</f>
        <v>0</v>
      </c>
      <c r="AH10" s="10" t="str">
        <f>_xlfn.XLOOKUP(A10,'United MAMP All Components'!A:A,'United MAMP All Components'!Q:Q)</f>
        <v>0.00</v>
      </c>
      <c r="AI10" s="10">
        <f t="shared" si="10"/>
        <v>0</v>
      </c>
      <c r="AJ10" s="10">
        <f>_xlfn.XLOOKUP(A10,'Icyte Report'!A:A,'Icyte Report'!AH:AH)</f>
        <v>0</v>
      </c>
      <c r="AK10" s="10" t="str">
        <f>_xlfn.XLOOKUP(A10,'United MAMP All Components'!A:A,'United MAMP All Components'!R:R)</f>
        <v>0.00</v>
      </c>
      <c r="AL10" s="10">
        <f t="shared" si="11"/>
        <v>0</v>
      </c>
      <c r="AM10" s="10">
        <f>_xlfn.XLOOKUP(A10,'Icyte Report'!A:A,'Icyte Report'!AS:AS)</f>
        <v>4664394</v>
      </c>
      <c r="AN10" s="10" t="str">
        <f>_xlfn.XLOOKUP(A10,'United MAMP All Components'!A:A,'United MAMP All Components'!T:T)</f>
        <v>3,731,515.20</v>
      </c>
      <c r="AO10" s="10">
        <f t="shared" si="12"/>
        <v>932878.79999999981</v>
      </c>
      <c r="AP10" s="10">
        <f>_xlfn.XLOOKUP(A10,'Icyte Report'!A:A,'Icyte Report'!AT:AT)</f>
        <v>16240</v>
      </c>
      <c r="AQ10" s="10" t="str">
        <f>_xlfn.XLOOKUP(A10,'United MAMP All Components'!A:A,'United MAMP All Components'!U:U)</f>
        <v>12,992.00</v>
      </c>
      <c r="AR10" s="10">
        <f t="shared" si="13"/>
        <v>3248</v>
      </c>
      <c r="AS10" s="10">
        <f>_xlfn.XLOOKUP(A10,'Icyte Report'!A:A,'Icyte Report'!AU:AU)</f>
        <v>0</v>
      </c>
      <c r="AT10" s="10" t="str">
        <f>_xlfn.XLOOKUP(A10,'United MAMP All Components'!A:A,'United MAMP All Components'!AO:AO)</f>
        <v>0.00</v>
      </c>
      <c r="AU10" s="10">
        <f t="shared" si="14"/>
        <v>0</v>
      </c>
      <c r="AV10" s="10">
        <f>_xlfn.XLOOKUP(A10,'Icyte Report'!A:A,'Icyte Report'!AV:AV)</f>
        <v>0</v>
      </c>
      <c r="AW10" s="10" t="str">
        <f>_xlfn.XLOOKUP(A10,'United MAMP All Components'!A:A,'United MAMP All Components'!AP:AP)</f>
        <v>0.00</v>
      </c>
      <c r="AX10" s="10">
        <f t="shared" si="15"/>
        <v>0</v>
      </c>
      <c r="AY10" s="10">
        <f>_xlfn.XLOOKUP(A10,'Icyte Report'!A:A,'Icyte Report'!BH:BH)</f>
        <v>45193.599999999999</v>
      </c>
      <c r="AZ10" s="10" t="e">
        <f>_xlfn.XLOOKUP(A10,'United Smoothed Indirect Inelig'!A:A,'United Smoothed Indirect Inelig'!D:D)</f>
        <v>#N/A</v>
      </c>
      <c r="BA10" s="10" t="e">
        <f t="shared" si="16"/>
        <v>#N/A</v>
      </c>
      <c r="BB10" s="10">
        <f>_xlfn.XLOOKUP(A10,'Icyte Report'!A:A,'Icyte Report'!BK:BK)</f>
        <v>105339.6</v>
      </c>
      <c r="BC10" s="10" t="e">
        <f t="shared" si="17"/>
        <v>#N/A</v>
      </c>
      <c r="BD10" s="10">
        <f>_xlfn.XLOOKUP(A10,'Icyte Report'!A:A,'Icyte Report'!BN:BN)</f>
        <v>0</v>
      </c>
      <c r="BE10" s="10" t="e">
        <f>_xlfn.XLOOKUP(A10,'United Smoothed Indirect Inelig'!A:A,'United Smoothed Indirect Inelig'!C:C)</f>
        <v>#N/A</v>
      </c>
      <c r="BF10" s="10" t="e">
        <f t="shared" si="18"/>
        <v>#N/A</v>
      </c>
      <c r="BG10" s="10">
        <f>_xlfn.XLOOKUP(A10,'Icyte Report'!A:A,'Icyte Report'!BR:BR)</f>
        <v>0</v>
      </c>
      <c r="BH10" s="10" t="e">
        <f>_xlfn.XLOOKUP(A10,'United Smoothed Indirect Inelig'!A:A,'United Smoothed Indirect Inelig'!B:B)</f>
        <v>#N/A</v>
      </c>
      <c r="BI10" s="10" t="e">
        <f t="shared" si="19"/>
        <v>#N/A</v>
      </c>
      <c r="BJ10" s="10">
        <f>_xlfn.XLOOKUP(A10,'Icyte Report'!A:A,'Icyte Report'!BV:BV)</f>
        <v>287.21637931034479</v>
      </c>
      <c r="BK10" s="10" t="e">
        <f>_xlfn.XLOOKUP(A10,'United Smoothed Indirect Inelig'!A:A,'United Smoothed Indirect Inelig'!P:P)</f>
        <v>#N/A</v>
      </c>
      <c r="BL10" s="10" t="e">
        <f t="shared" si="20"/>
        <v>#N/A</v>
      </c>
      <c r="BM10" s="13">
        <f>_xlfn.XLOOKUP(A10,'Icyte Report'!A:A,'Icyte Report'!BW:BW)</f>
        <v>6.5701006500739997E-2</v>
      </c>
      <c r="BN10" s="13" t="e">
        <f>_xlfn.XLOOKUP(A10,'United Smoothed Indirect Inelig'!A:A,'United Smoothed Indirect Inelig'!G:G)+_xlfn.XLOOKUP(A10,'United Smoothed Indirect Inelig'!A:A,'United Smoothed Indirect Inelig'!H:H) + _xlfn.XLOOKUP(A10,'United Smoothed Indirect Inelig'!A:A,'United Smoothed Indirect Inelig'!I:I)+_xlfn.XLOOKUP(A10,'United Smoothed Indirect Inelig'!A:A,'United Smoothed Indirect Inelig'!J:J)</f>
        <v>#N/A</v>
      </c>
      <c r="BO10" s="18" t="e">
        <f t="shared" si="21"/>
        <v>#N/A</v>
      </c>
      <c r="BP10" s="10">
        <f>_xlfn.XLOOKUP(A10,'Icyte Report'!A:A,'Icyte Report'!BY:BY)</f>
        <v>1066.984345572004</v>
      </c>
      <c r="BQ10" s="10" t="e">
        <f>_xlfn.XLOOKUP(A10,'United Smoothed Indirect Inelig'!A:A,'United Smoothed Indirect Inelig'!L:L)+_xlfn.XLOOKUP(A10,'United Smoothed Indirect Inelig'!A:A,'United Smoothed Indirect Inelig'!M:M) + _xlfn.XLOOKUP(A10,'United Smoothed Indirect Inelig'!A:A,'United Smoothed Indirect Inelig'!N:N)+_xlfn.XLOOKUP(A10,'United Smoothed Indirect Inelig'!A:A,'United Smoothed Indirect Inelig'!O:O)</f>
        <v>#N/A</v>
      </c>
      <c r="BR10" s="10" t="e">
        <f t="shared" si="22"/>
        <v>#N/A</v>
      </c>
      <c r="BS10" s="10">
        <f>_xlfn.XLOOKUP(A10,'Icyte Report'!A:A,'Icyte Report'!BZ:BZ)</f>
        <v>4357938.6194839925</v>
      </c>
      <c r="BT10" s="10" t="str">
        <f>_xlfn.XLOOKUP(A10,'United MAMP All Components'!A:A,'United MAMP All Components'!AL:AL)</f>
        <v>3,487,347.78</v>
      </c>
      <c r="BU10" s="10">
        <f t="shared" si="23"/>
        <v>870590.83948399266</v>
      </c>
      <c r="BV10" s="26">
        <f>_xlfn.XLOOKUP(A10,'Icyte Report'!A:A,'Icyte Report'!CA:CA)</f>
        <v>15173.015654428</v>
      </c>
      <c r="BW10" s="22" t="str">
        <f>_xlfn.XLOOKUP(A10,'United MAMP All Components'!A:A,'United MAMP All Components'!AM:AM)</f>
        <v>12,141.88</v>
      </c>
      <c r="BX10" s="10">
        <f t="shared" si="24"/>
        <v>3031.1356544280006</v>
      </c>
      <c r="BY10" s="10">
        <f>_xlfn.XLOOKUP(A10,'Icyte Report'!A:A,'Icyte Report'!CD:CD)</f>
        <v>0</v>
      </c>
      <c r="BZ10" s="10" t="str">
        <f>_xlfn.XLOOKUP(A10,'United_Smoothed Price Concessio'!A:A,'United_Smoothed Price Concessio'!D:D)</f>
        <v>$0.00</v>
      </c>
      <c r="CA10" s="10">
        <f t="shared" si="25"/>
        <v>0</v>
      </c>
      <c r="CB10" s="10">
        <f>_xlfn.XLOOKUP(A10,'Icyte Report'!A:A,'Icyte Report'!CF:CF)</f>
        <v>2291185.6</v>
      </c>
      <c r="CC10" s="10" t="e">
        <f>_xlfn.XLOOKUP(A10,'United Smoothed Indirect Inelig'!A:A,'United Smoothed Indirect Inelig'!F:F)</f>
        <v>#N/A</v>
      </c>
      <c r="CD10" s="10" t="e">
        <f t="shared" si="26"/>
        <v>#N/A</v>
      </c>
      <c r="CE10" s="10">
        <f>_xlfn.XLOOKUP(A10,'Icyte Report'!A:A,'Icyte Report'!CL:CL)</f>
        <v>541460367.11045671</v>
      </c>
      <c r="CF10" s="10" t="str">
        <f>_xlfn.XLOOKUP(A10,'United_Smoothed Price Concessio'!A:A,'United_Smoothed Price Concessio'!H:H)</f>
        <v>$553,634,634.54</v>
      </c>
      <c r="CG10" s="10">
        <f t="shared" si="27"/>
        <v>-12174267.429543257</v>
      </c>
      <c r="CH10" s="10">
        <f>_xlfn.XLOOKUP(A10,'Icyte Report'!A:A,'Icyte Report'!CY:CY)</f>
        <v>10687452.484431259</v>
      </c>
      <c r="CI10" s="10" t="str">
        <f>_xlfn.XLOOKUP(A10,'United_Smoothed Price Concessio'!A:A,'United_Smoothed Price Concessio'!C:C)</f>
        <v>$9,963,685.06</v>
      </c>
      <c r="CJ10" s="10">
        <f t="shared" si="28"/>
        <v>723767.42443125881</v>
      </c>
      <c r="CK10" s="10">
        <f>_xlfn.XLOOKUP(A10,'Icyte Report'!A:A,'Icyte Report'!CZ:CZ)</f>
        <v>10687452.484431259</v>
      </c>
      <c r="CL10" s="10" t="str">
        <f>_xlfn.XLOOKUP(A10,'United_Smoothed Price Concessio'!A:A,'United_Smoothed Price Concessio'!G:G)</f>
        <v>$9,963,685.06</v>
      </c>
      <c r="CM10" s="10">
        <f t="shared" si="29"/>
        <v>723767.42443125881</v>
      </c>
      <c r="CN10" s="13">
        <f>_xlfn.XLOOKUP(A10,'Icyte Report'!A:A,'Icyte Report'!DA:DA)</f>
        <v>1.9738199014390001E-2</v>
      </c>
      <c r="CO10" s="13" t="str">
        <f>_xlfn.XLOOKUP(A10,'United_Smoothed Price Concessio'!A:A,'United_Smoothed Price Concessio'!I:I)</f>
        <v>1.799686%</v>
      </c>
      <c r="CP10" s="10">
        <f t="shared" si="30"/>
        <v>1.7413390143900011E-3</v>
      </c>
      <c r="CQ10" s="10">
        <f>_xlfn.XLOOKUP(A10,'Icyte Report'!A:A,'Icyte Report'!DB:DB)</f>
        <v>86017.859763874236</v>
      </c>
      <c r="CR10" s="10" t="str">
        <f>_xlfn.XLOOKUP(A10,'United MAMP All Components'!A:A,'United MAMP All Components'!AX:AX)</f>
        <v>927,982.70</v>
      </c>
      <c r="CS10" s="10">
        <f t="shared" si="31"/>
        <v>-841964.84023612575</v>
      </c>
      <c r="CT10" s="10">
        <f>_xlfn.XLOOKUP(A10,'Icyte Report'!A:A,'Icyte Report'!DC:DC)</f>
        <v>87158.772389679827</v>
      </c>
      <c r="CU10" s="10" t="str">
        <f>_xlfn.XLOOKUP(A10,'United MAMP All Components'!A:A,'United MAMP All Components'!BA:BA)</f>
        <v>1,031,271.79</v>
      </c>
      <c r="CV10" s="10">
        <f t="shared" si="32"/>
        <v>-944113.01761032024</v>
      </c>
      <c r="CW10" s="10">
        <f>_xlfn.XLOOKUP(A10,'Icyte Report'!A:A,'Icyte Report'!DD:DD)</f>
        <v>4184761.9873304372</v>
      </c>
      <c r="CX10" s="10" t="str">
        <f>_xlfn.XLOOKUP(A10,'United MAMP All Components'!A:A,'United MAMP All Components'!BD:BD)</f>
        <v>49,604,334.83</v>
      </c>
      <c r="CY10" s="10">
        <f t="shared" si="33"/>
        <v>-45419572.842669562</v>
      </c>
      <c r="CZ10" s="10">
        <f>_xlfn.XLOOKUP(A10,'Icyte Report'!A:A,'Icyte Report'!DE:DE)</f>
        <v>15173.015654428</v>
      </c>
      <c r="DA10" s="10" t="str">
        <f>_xlfn.XLOOKUP(A10,'United MAMP All Components'!A:A,'United MAMP All Components'!BE:BE)</f>
        <v>198,871.19</v>
      </c>
      <c r="DB10" s="10">
        <f t="shared" si="34"/>
        <v>-183698.17434557201</v>
      </c>
      <c r="DC10" s="10">
        <f>_xlfn.XLOOKUP(A10,'Icyte Report'!A:A,'Icyte Report'!DI:DI)</f>
        <v>249.86806100000001</v>
      </c>
      <c r="DD10" s="10" t="str">
        <f>_xlfn.XLOOKUP(A10,'United MAMP All Components'!A:A,'United MAMP All Components'!BG:BG)</f>
        <v>249.429465</v>
      </c>
      <c r="DE10" s="10">
        <f t="shared" si="35"/>
        <v>0.43859600000001819</v>
      </c>
    </row>
    <row r="11" spans="1:109" x14ac:dyDescent="0.35">
      <c r="A11" s="10" t="s">
        <v>146</v>
      </c>
      <c r="B11" s="10" t="s">
        <v>427</v>
      </c>
      <c r="C11" s="10">
        <f>_xlfn.XLOOKUP(A11,'Icyte Report'!A:A,'Icyte Report'!W:W)</f>
        <v>41185115.5</v>
      </c>
      <c r="D11" s="10" t="str">
        <f>_xlfn.XLOOKUP(A11,'United MAMP All Components'!A:A,'United MAMP All Components'!B:B)</f>
        <v>51,011,006.00</v>
      </c>
      <c r="E11" s="10">
        <f t="shared" si="0"/>
        <v>-9825890.5</v>
      </c>
      <c r="F11" s="10">
        <f>_xlfn.XLOOKUP(A11,'Icyte Report'!A:A,'Icyte Report'!X:X)</f>
        <v>193256</v>
      </c>
      <c r="G11" s="10" t="str">
        <f>_xlfn.XLOOKUP(A11,'United MAMP All Components'!A:A,'United MAMP All Components'!C:C)</f>
        <v>230,608.00</v>
      </c>
      <c r="H11" s="10">
        <f t="shared" si="1"/>
        <v>-37352</v>
      </c>
      <c r="I11" s="10">
        <f>_xlfn.XLOOKUP(A11,'Icyte Report'!A:A,'Icyte Report'!Y:Y)</f>
        <v>0</v>
      </c>
      <c r="J11" s="10" t="str">
        <f>_xlfn.XLOOKUP(A11,'United MAMP All Components'!A:A,'United MAMP All Components'!E:E)</f>
        <v>0.00</v>
      </c>
      <c r="K11" s="10">
        <f t="shared" si="2"/>
        <v>0</v>
      </c>
      <c r="L11" s="10">
        <f>_xlfn.XLOOKUP(A11,'Icyte Report'!A:A,'Icyte Report'!Z:Z)</f>
        <v>0</v>
      </c>
      <c r="M11" s="10" t="str">
        <f>_xlfn.XLOOKUP(A11,'United MAMP All Components'!A:A,'United MAMP All Components'!F:F)</f>
        <v>0.00</v>
      </c>
      <c r="N11" s="10">
        <f t="shared" si="3"/>
        <v>0</v>
      </c>
      <c r="O11" s="10">
        <f>_xlfn.XLOOKUP(A11,'Icyte Report'!A:A,'Icyte Report'!AA:AA)</f>
        <v>0</v>
      </c>
      <c r="P11" s="10" t="str">
        <f>_xlfn.XLOOKUP(A11,'United MAMP All Components'!A:A,'United MAMP All Components'!H:H)</f>
        <v>0.00</v>
      </c>
      <c r="Q11" s="10">
        <f t="shared" si="4"/>
        <v>0</v>
      </c>
      <c r="R11" s="10">
        <f>_xlfn.XLOOKUP(A11,'Icyte Report'!A:A,'Icyte Report'!AB:AB)</f>
        <v>0</v>
      </c>
      <c r="S11" s="10" t="str">
        <f>_xlfn.XLOOKUP(A11,'United MAMP All Components'!A:A,'United MAMP All Components'!I:I)</f>
        <v>0.00</v>
      </c>
      <c r="T11" s="10">
        <f t="shared" si="5"/>
        <v>0</v>
      </c>
      <c r="U11" s="10">
        <f>_xlfn.XLOOKUP(A11,'Icyte Report'!A:A,'Icyte Report'!AC:AC)</f>
        <v>0</v>
      </c>
      <c r="V11" s="10" t="str">
        <f>_xlfn.XLOOKUP(A11,'United MAMP All Components'!A:A,'United MAMP All Components'!K:K)</f>
        <v>0.00</v>
      </c>
      <c r="W11" s="10">
        <f t="shared" si="6"/>
        <v>0</v>
      </c>
      <c r="X11" s="10">
        <f>_xlfn.XLOOKUP(A11,'Icyte Report'!A:A,'Icyte Report'!AD:AD)</f>
        <v>0</v>
      </c>
      <c r="Y11" s="10" t="str">
        <f>_xlfn.XLOOKUP(A11,'United MAMP All Components'!A:A,'United MAMP All Components'!L:L)</f>
        <v>0.00</v>
      </c>
      <c r="Z11" s="10">
        <f t="shared" si="7"/>
        <v>0</v>
      </c>
      <c r="AA11" s="10">
        <f>_xlfn.XLOOKUP(A11,'Icyte Report'!A:A,'Icyte Report'!AE:AE)</f>
        <v>0</v>
      </c>
      <c r="AB11" s="10" t="str">
        <f>_xlfn.XLOOKUP(A11,'United MAMP All Components'!A:A,'United MAMP All Components'!N:N)</f>
        <v>0.00</v>
      </c>
      <c r="AC11" s="10">
        <f t="shared" si="8"/>
        <v>0</v>
      </c>
      <c r="AD11" s="10">
        <f>_xlfn.XLOOKUP(A11,'Icyte Report'!A:A,'Icyte Report'!AF:AF)</f>
        <v>33292</v>
      </c>
      <c r="AE11" s="10" t="str">
        <f>_xlfn.XLOOKUP(A11,'United MAMP All Components'!A:A,'United MAMP All Components'!O:O)</f>
        <v>32,480.00</v>
      </c>
      <c r="AF11" s="10">
        <f t="shared" si="9"/>
        <v>812</v>
      </c>
      <c r="AG11" s="10">
        <f>_xlfn.XLOOKUP(A11,'Icyte Report'!A:A,'Icyte Report'!AG:AG)</f>
        <v>0</v>
      </c>
      <c r="AH11" s="10" t="str">
        <f>_xlfn.XLOOKUP(A11,'United MAMP All Components'!A:A,'United MAMP All Components'!Q:Q)</f>
        <v>0.00</v>
      </c>
      <c r="AI11" s="10">
        <f t="shared" si="10"/>
        <v>0</v>
      </c>
      <c r="AJ11" s="10">
        <f>_xlfn.XLOOKUP(A11,'Icyte Report'!A:A,'Icyte Report'!AH:AH)</f>
        <v>0</v>
      </c>
      <c r="AK11" s="10" t="str">
        <f>_xlfn.XLOOKUP(A11,'United MAMP All Components'!A:A,'United MAMP All Components'!R:R)</f>
        <v>0.00</v>
      </c>
      <c r="AL11" s="10">
        <f t="shared" si="11"/>
        <v>0</v>
      </c>
      <c r="AM11" s="10">
        <f>_xlfn.XLOOKUP(A11,'Icyte Report'!A:A,'Icyte Report'!AS:AS)</f>
        <v>41185115.5</v>
      </c>
      <c r="AN11" s="10" t="str">
        <f>_xlfn.XLOOKUP(A11,'United MAMP All Components'!A:A,'United MAMP All Components'!T:T)</f>
        <v>51,011,006.00</v>
      </c>
      <c r="AO11" s="10">
        <f t="shared" si="12"/>
        <v>-9825890.5</v>
      </c>
      <c r="AP11" s="10">
        <f>_xlfn.XLOOKUP(A11,'Icyte Report'!A:A,'Icyte Report'!AT:AT)</f>
        <v>159964</v>
      </c>
      <c r="AQ11" s="10" t="str">
        <f>_xlfn.XLOOKUP(A11,'United MAMP All Components'!A:A,'United MAMP All Components'!U:U)</f>
        <v>198,128.00</v>
      </c>
      <c r="AR11" s="10">
        <f t="shared" si="13"/>
        <v>-38164</v>
      </c>
      <c r="AS11" s="10">
        <f>_xlfn.XLOOKUP(A11,'Icyte Report'!A:A,'Icyte Report'!AU:AU)</f>
        <v>0</v>
      </c>
      <c r="AT11" s="10" t="str">
        <f>_xlfn.XLOOKUP(A11,'United MAMP All Components'!A:A,'United MAMP All Components'!AO:AO)</f>
        <v>0.00</v>
      </c>
      <c r="AU11" s="10">
        <f t="shared" si="14"/>
        <v>0</v>
      </c>
      <c r="AV11" s="10">
        <f>_xlfn.XLOOKUP(A11,'Icyte Report'!A:A,'Icyte Report'!AV:AV)</f>
        <v>0</v>
      </c>
      <c r="AW11" s="10" t="str">
        <f>_xlfn.XLOOKUP(A11,'United MAMP All Components'!A:A,'United MAMP All Components'!AP:AP)</f>
        <v>0.00</v>
      </c>
      <c r="AX11" s="10">
        <f t="shared" si="15"/>
        <v>0</v>
      </c>
      <c r="AY11" s="10">
        <f>_xlfn.XLOOKUP(A11,'Icyte Report'!A:A,'Icyte Report'!BH:BH)</f>
        <v>45193.599999999999</v>
      </c>
      <c r="AZ11" s="10" t="e">
        <f>_xlfn.XLOOKUP(A11,'United Smoothed Indirect Inelig'!A:A,'United Smoothed Indirect Inelig'!D:D)</f>
        <v>#N/A</v>
      </c>
      <c r="BA11" s="10" t="e">
        <f t="shared" si="16"/>
        <v>#N/A</v>
      </c>
      <c r="BB11" s="10">
        <f>_xlfn.XLOOKUP(A11,'Icyte Report'!A:A,'Icyte Report'!BK:BK)</f>
        <v>105339.6</v>
      </c>
      <c r="BC11" s="10" t="e">
        <f t="shared" si="17"/>
        <v>#N/A</v>
      </c>
      <c r="BD11" s="10">
        <f>_xlfn.XLOOKUP(A11,'Icyte Report'!A:A,'Icyte Report'!BN:BN)</f>
        <v>0</v>
      </c>
      <c r="BE11" s="10" t="e">
        <f>_xlfn.XLOOKUP(A11,'United Smoothed Indirect Inelig'!A:A,'United Smoothed Indirect Inelig'!C:C)</f>
        <v>#N/A</v>
      </c>
      <c r="BF11" s="10" t="e">
        <f t="shared" si="18"/>
        <v>#N/A</v>
      </c>
      <c r="BG11" s="10">
        <f>_xlfn.XLOOKUP(A11,'Icyte Report'!A:A,'Icyte Report'!BR:BR)</f>
        <v>0</v>
      </c>
      <c r="BH11" s="10" t="e">
        <f>_xlfn.XLOOKUP(A11,'United Smoothed Indirect Inelig'!A:A,'United Smoothed Indirect Inelig'!B:B)</f>
        <v>#N/A</v>
      </c>
      <c r="BI11" s="10" t="e">
        <f t="shared" si="19"/>
        <v>#N/A</v>
      </c>
      <c r="BJ11" s="10">
        <f>_xlfn.XLOOKUP(A11,'Icyte Report'!A:A,'Icyte Report'!BV:BV)</f>
        <v>257.46490147783248</v>
      </c>
      <c r="BK11" s="10" t="e">
        <f>_xlfn.XLOOKUP(A11,'United Smoothed Indirect Inelig'!A:A,'United Smoothed Indirect Inelig'!P:P)</f>
        <v>#N/A</v>
      </c>
      <c r="BL11" s="10" t="e">
        <f t="shared" si="20"/>
        <v>#N/A</v>
      </c>
      <c r="BM11" s="13">
        <f>_xlfn.XLOOKUP(A11,'Icyte Report'!A:A,'Icyte Report'!BW:BW)</f>
        <v>6.5701006500739997E-2</v>
      </c>
      <c r="BN11" s="13" t="e">
        <f>_xlfn.XLOOKUP(A11,'United Smoothed Indirect Inelig'!A:A,'United Smoothed Indirect Inelig'!G:G)+_xlfn.XLOOKUP(A11,'United Smoothed Indirect Inelig'!A:A,'United Smoothed Indirect Inelig'!H:H) + _xlfn.XLOOKUP(A11,'United Smoothed Indirect Inelig'!A:A,'United Smoothed Indirect Inelig'!I:I)+_xlfn.XLOOKUP(A11,'United Smoothed Indirect Inelig'!A:A,'United Smoothed Indirect Inelig'!J:J)</f>
        <v>#N/A</v>
      </c>
      <c r="BO11" s="18" t="e">
        <f t="shared" si="21"/>
        <v>#N/A</v>
      </c>
      <c r="BP11" s="10">
        <f>_xlfn.XLOOKUP(A11,'Icyte Report'!A:A,'Icyte Report'!BY:BY)</f>
        <v>10509.795803884241</v>
      </c>
      <c r="BQ11" s="10" t="e">
        <f>_xlfn.XLOOKUP(A11,'United Smoothed Indirect Inelig'!A:A,'United Smoothed Indirect Inelig'!L:L)+_xlfn.XLOOKUP(A11,'United Smoothed Indirect Inelig'!A:A,'United Smoothed Indirect Inelig'!M:M) + _xlfn.XLOOKUP(A11,'United Smoothed Indirect Inelig'!A:A,'United Smoothed Indirect Inelig'!N:N)+_xlfn.XLOOKUP(A11,'United Smoothed Indirect Inelig'!A:A,'United Smoothed Indirect Inelig'!O:O)</f>
        <v>#N/A</v>
      </c>
      <c r="BR11" s="10" t="e">
        <f t="shared" si="22"/>
        <v>#N/A</v>
      </c>
      <c r="BS11" s="10">
        <f>_xlfn.XLOOKUP(A11,'Icyte Report'!A:A,'Icyte Report'!BZ:BZ)</f>
        <v>38479211.958800808</v>
      </c>
      <c r="BT11" s="10" t="str">
        <f>_xlfn.XLOOKUP(A11,'United MAMP All Components'!A:A,'United MAMP All Components'!AL:AL)</f>
        <v>47,787,707.55</v>
      </c>
      <c r="BU11" s="10">
        <f t="shared" si="23"/>
        <v>-9308495.5911991894</v>
      </c>
      <c r="BV11" s="26">
        <f>_xlfn.XLOOKUP(A11,'Icyte Report'!A:A,'Icyte Report'!CA:CA)</f>
        <v>149454.20419611581</v>
      </c>
      <c r="BW11" s="22" t="str">
        <f>_xlfn.XLOOKUP(A11,'United MAMP All Components'!A:A,'United MAMP All Components'!AM:AM)</f>
        <v>185,608.63</v>
      </c>
      <c r="BX11" s="10">
        <f t="shared" si="24"/>
        <v>-36154.425803884194</v>
      </c>
      <c r="BY11" s="10">
        <f>_xlfn.XLOOKUP(A11,'Icyte Report'!A:A,'Icyte Report'!CD:CD)</f>
        <v>0</v>
      </c>
      <c r="BZ11" s="10" t="str">
        <f>_xlfn.XLOOKUP(A11,'United_Smoothed Price Concessio'!A:A,'United_Smoothed Price Concessio'!D:D)</f>
        <v>$0.00</v>
      </c>
      <c r="CA11" s="10">
        <f t="shared" si="25"/>
        <v>0</v>
      </c>
      <c r="CB11" s="10">
        <f>_xlfn.XLOOKUP(A11,'Icyte Report'!A:A,'Icyte Report'!CF:CF)</f>
        <v>2291185.6</v>
      </c>
      <c r="CC11" s="10" t="e">
        <f>_xlfn.XLOOKUP(A11,'United Smoothed Indirect Inelig'!A:A,'United Smoothed Indirect Inelig'!F:F)</f>
        <v>#N/A</v>
      </c>
      <c r="CD11" s="10" t="e">
        <f t="shared" si="26"/>
        <v>#N/A</v>
      </c>
      <c r="CE11" s="10">
        <f>_xlfn.XLOOKUP(A11,'Icyte Report'!A:A,'Icyte Report'!CL:CL)</f>
        <v>545851504.31233025</v>
      </c>
      <c r="CF11" s="10" t="str">
        <f>_xlfn.XLOOKUP(A11,'United_Smoothed Price Concessio'!A:A,'United_Smoothed Price Concessio'!H:H)</f>
        <v>$553,634,634.54</v>
      </c>
      <c r="CG11" s="10">
        <f t="shared" si="27"/>
        <v>-7783130.2276697159</v>
      </c>
      <c r="CH11" s="10">
        <f>_xlfn.XLOOKUP(A11,'Icyte Report'!A:A,'Icyte Report'!CY:CY)</f>
        <v>10687452.484431259</v>
      </c>
      <c r="CI11" s="10" t="str">
        <f>_xlfn.XLOOKUP(A11,'United_Smoothed Price Concessio'!A:A,'United_Smoothed Price Concessio'!C:C)</f>
        <v>$9,963,685.06</v>
      </c>
      <c r="CJ11" s="10">
        <f t="shared" si="28"/>
        <v>723767.42443125881</v>
      </c>
      <c r="CK11" s="10">
        <f>_xlfn.XLOOKUP(A11,'Icyte Report'!A:A,'Icyte Report'!CZ:CZ)</f>
        <v>10687452.484431259</v>
      </c>
      <c r="CL11" s="10" t="str">
        <f>_xlfn.XLOOKUP(A11,'United_Smoothed Price Concessio'!A:A,'United_Smoothed Price Concessio'!G:G)</f>
        <v>$9,963,685.06</v>
      </c>
      <c r="CM11" s="10">
        <f t="shared" si="29"/>
        <v>723767.42443125881</v>
      </c>
      <c r="CN11" s="13">
        <f>_xlfn.XLOOKUP(A11,'Icyte Report'!A:A,'Icyte Report'!DA:DA)</f>
        <v>1.9579413814929999E-2</v>
      </c>
      <c r="CO11" s="13" t="str">
        <f>_xlfn.XLOOKUP(A11,'United_Smoothed Price Concessio'!A:A,'United_Smoothed Price Concessio'!I:I)</f>
        <v>1.799686%</v>
      </c>
      <c r="CP11" s="10">
        <f t="shared" si="30"/>
        <v>1.5825538149299989E-3</v>
      </c>
      <c r="CQ11" s="10">
        <f>_xlfn.XLOOKUP(A11,'Icyte Report'!A:A,'Icyte Report'!DB:DB)</f>
        <v>753400.41421363025</v>
      </c>
      <c r="CR11" s="10" t="str">
        <f>_xlfn.XLOOKUP(A11,'United MAMP All Components'!A:A,'United MAMP All Components'!AX:AX)</f>
        <v>927,982.70</v>
      </c>
      <c r="CS11" s="10">
        <f t="shared" si="31"/>
        <v>-174582.2857863697</v>
      </c>
      <c r="CT11" s="10">
        <f>_xlfn.XLOOKUP(A11,'Icyte Report'!A:A,'Icyte Report'!DC:DC)</f>
        <v>769584.23917601607</v>
      </c>
      <c r="CU11" s="10" t="str">
        <f>_xlfn.XLOOKUP(A11,'United MAMP All Components'!A:A,'United MAMP All Components'!BA:BA)</f>
        <v>1,031,271.79</v>
      </c>
      <c r="CV11" s="10">
        <f t="shared" si="32"/>
        <v>-261687.55082398397</v>
      </c>
      <c r="CW11" s="10">
        <f>_xlfn.XLOOKUP(A11,'Icyte Report'!A:A,'Icyte Report'!DD:DD)</f>
        <v>36956227.30541116</v>
      </c>
      <c r="CX11" s="10" t="str">
        <f>_xlfn.XLOOKUP(A11,'United MAMP All Components'!A:A,'United MAMP All Components'!BD:BD)</f>
        <v>49,604,334.83</v>
      </c>
      <c r="CY11" s="10">
        <f t="shared" si="33"/>
        <v>-12648107.524588838</v>
      </c>
      <c r="CZ11" s="10">
        <f>_xlfn.XLOOKUP(A11,'Icyte Report'!A:A,'Icyte Report'!DE:DE)</f>
        <v>149454.20419611581</v>
      </c>
      <c r="DA11" s="10" t="str">
        <f>_xlfn.XLOOKUP(A11,'United MAMP All Components'!A:A,'United MAMP All Components'!BE:BE)</f>
        <v>198,871.19</v>
      </c>
      <c r="DB11" s="10">
        <f t="shared" si="34"/>
        <v>-49416.985803884192</v>
      </c>
      <c r="DC11" s="10">
        <f>_xlfn.XLOOKUP(A11,'Icyte Report'!A:A,'Icyte Report'!DI:DI)</f>
        <v>249.86806100000001</v>
      </c>
      <c r="DD11" s="10" t="str">
        <f>_xlfn.XLOOKUP(A11,'United MAMP All Components'!A:A,'United MAMP All Components'!BG:BG)</f>
        <v>249.429465</v>
      </c>
      <c r="DE11" s="10">
        <f t="shared" si="35"/>
        <v>0.43859600000001819</v>
      </c>
    </row>
    <row r="12" spans="1:109" x14ac:dyDescent="0.35">
      <c r="A12" s="10" t="s">
        <v>150</v>
      </c>
      <c r="B12" s="10" t="s">
        <v>428</v>
      </c>
      <c r="C12" s="10">
        <f>_xlfn.XLOOKUP(A12,'Icyte Report'!A:A,'Icyte Report'!W:W)</f>
        <v>627181.80000000005</v>
      </c>
      <c r="D12" s="10" t="str">
        <f>_xlfn.XLOOKUP(A12,'United MAMP All Components'!A:A,'United MAMP All Components'!B:B)</f>
        <v>298,658.00</v>
      </c>
      <c r="E12" s="10">
        <f t="shared" si="0"/>
        <v>328523.80000000005</v>
      </c>
      <c r="F12" s="10">
        <f>_xlfn.XLOOKUP(A12,'Icyte Report'!A:A,'Icyte Report'!X:X)</f>
        <v>2784</v>
      </c>
      <c r="G12" s="10" t="str">
        <f>_xlfn.XLOOKUP(A12,'United MAMP All Components'!A:A,'United MAMP All Components'!C:C)</f>
        <v>1,160.00</v>
      </c>
      <c r="H12" s="10">
        <f t="shared" si="1"/>
        <v>1624</v>
      </c>
      <c r="I12" s="10">
        <f>_xlfn.XLOOKUP(A12,'Icyte Report'!A:A,'Icyte Report'!Y:Y)</f>
        <v>0</v>
      </c>
      <c r="J12" s="10" t="str">
        <f>_xlfn.XLOOKUP(A12,'United MAMP All Components'!A:A,'United MAMP All Components'!E:E)</f>
        <v>0.00</v>
      </c>
      <c r="K12" s="10">
        <f t="shared" si="2"/>
        <v>0</v>
      </c>
      <c r="L12" s="10">
        <f>_xlfn.XLOOKUP(A12,'Icyte Report'!A:A,'Icyte Report'!Z:Z)</f>
        <v>0</v>
      </c>
      <c r="M12" s="10" t="str">
        <f>_xlfn.XLOOKUP(A12,'United MAMP All Components'!A:A,'United MAMP All Components'!F:F)</f>
        <v>0.00</v>
      </c>
      <c r="N12" s="10">
        <f t="shared" si="3"/>
        <v>0</v>
      </c>
      <c r="O12" s="10">
        <f>_xlfn.XLOOKUP(A12,'Icyte Report'!A:A,'Icyte Report'!AA:AA)</f>
        <v>0</v>
      </c>
      <c r="P12" s="10" t="str">
        <f>_xlfn.XLOOKUP(A12,'United MAMP All Components'!A:A,'United MAMP All Components'!H:H)</f>
        <v>0.00</v>
      </c>
      <c r="Q12" s="10">
        <f t="shared" si="4"/>
        <v>0</v>
      </c>
      <c r="R12" s="10">
        <f>_xlfn.XLOOKUP(A12,'Icyte Report'!A:A,'Icyte Report'!AB:AB)</f>
        <v>0</v>
      </c>
      <c r="S12" s="10" t="str">
        <f>_xlfn.XLOOKUP(A12,'United MAMP All Components'!A:A,'United MAMP All Components'!I:I)</f>
        <v>0.00</v>
      </c>
      <c r="T12" s="10">
        <f t="shared" si="5"/>
        <v>0</v>
      </c>
      <c r="U12" s="10">
        <f>_xlfn.XLOOKUP(A12,'Icyte Report'!A:A,'Icyte Report'!AC:AC)</f>
        <v>0</v>
      </c>
      <c r="V12" s="10" t="str">
        <f>_xlfn.XLOOKUP(A12,'United MAMP All Components'!A:A,'United MAMP All Components'!K:K)</f>
        <v>0.00</v>
      </c>
      <c r="W12" s="10">
        <f t="shared" si="6"/>
        <v>0</v>
      </c>
      <c r="X12" s="10">
        <f>_xlfn.XLOOKUP(A12,'Icyte Report'!A:A,'Icyte Report'!AD:AD)</f>
        <v>0</v>
      </c>
      <c r="Y12" s="10" t="str">
        <f>_xlfn.XLOOKUP(A12,'United MAMP All Components'!A:A,'United MAMP All Components'!L:L)</f>
        <v>0.00</v>
      </c>
      <c r="Z12" s="10">
        <f t="shared" si="7"/>
        <v>0</v>
      </c>
      <c r="AA12" s="10">
        <f>_xlfn.XLOOKUP(A12,'Icyte Report'!A:A,'Icyte Report'!AE:AE)</f>
        <v>0</v>
      </c>
      <c r="AB12" s="10" t="str">
        <f>_xlfn.XLOOKUP(A12,'United MAMP All Components'!A:A,'United MAMP All Components'!N:N)</f>
        <v>0.00</v>
      </c>
      <c r="AC12" s="10">
        <f t="shared" si="8"/>
        <v>0</v>
      </c>
      <c r="AD12" s="10">
        <f>_xlfn.XLOOKUP(A12,'Icyte Report'!A:A,'Icyte Report'!AF:AF)</f>
        <v>348</v>
      </c>
      <c r="AE12" s="10" t="str">
        <f>_xlfn.XLOOKUP(A12,'United MAMP All Components'!A:A,'United MAMP All Components'!O:O)</f>
        <v>0.00</v>
      </c>
      <c r="AF12" s="10">
        <f t="shared" si="9"/>
        <v>348</v>
      </c>
      <c r="AG12" s="10">
        <f>_xlfn.XLOOKUP(A12,'Icyte Report'!A:A,'Icyte Report'!AG:AG)</f>
        <v>0</v>
      </c>
      <c r="AH12" s="10" t="str">
        <f>_xlfn.XLOOKUP(A12,'United MAMP All Components'!A:A,'United MAMP All Components'!Q:Q)</f>
        <v>0.00</v>
      </c>
      <c r="AI12" s="10">
        <f t="shared" si="10"/>
        <v>0</v>
      </c>
      <c r="AJ12" s="10">
        <f>_xlfn.XLOOKUP(A12,'Icyte Report'!A:A,'Icyte Report'!AH:AH)</f>
        <v>0</v>
      </c>
      <c r="AK12" s="10" t="str">
        <f>_xlfn.XLOOKUP(A12,'United MAMP All Components'!A:A,'United MAMP All Components'!R:R)</f>
        <v>0.00</v>
      </c>
      <c r="AL12" s="10">
        <f t="shared" si="11"/>
        <v>0</v>
      </c>
      <c r="AM12" s="10">
        <f>_xlfn.XLOOKUP(A12,'Icyte Report'!A:A,'Icyte Report'!AS:AS)</f>
        <v>627181.80000000005</v>
      </c>
      <c r="AN12" s="10" t="str">
        <f>_xlfn.XLOOKUP(A12,'United MAMP All Components'!A:A,'United MAMP All Components'!T:T)</f>
        <v>298,658.00</v>
      </c>
      <c r="AO12" s="10">
        <f t="shared" si="12"/>
        <v>328523.80000000005</v>
      </c>
      <c r="AP12" s="10">
        <f>_xlfn.XLOOKUP(A12,'Icyte Report'!A:A,'Icyte Report'!AT:AT)</f>
        <v>2436</v>
      </c>
      <c r="AQ12" s="10" t="str">
        <f>_xlfn.XLOOKUP(A12,'United MAMP All Components'!A:A,'United MAMP All Components'!U:U)</f>
        <v>1,160.00</v>
      </c>
      <c r="AR12" s="10">
        <f t="shared" si="13"/>
        <v>1276</v>
      </c>
      <c r="AS12" s="10">
        <f>_xlfn.XLOOKUP(A12,'Icyte Report'!A:A,'Icyte Report'!AU:AU)</f>
        <v>0</v>
      </c>
      <c r="AT12" s="10" t="str">
        <f>_xlfn.XLOOKUP(A12,'United MAMP All Components'!A:A,'United MAMP All Components'!AO:AO)</f>
        <v>0.00</v>
      </c>
      <c r="AU12" s="10">
        <f t="shared" si="14"/>
        <v>0</v>
      </c>
      <c r="AV12" s="10">
        <f>_xlfn.XLOOKUP(A12,'Icyte Report'!A:A,'Icyte Report'!AV:AV)</f>
        <v>0</v>
      </c>
      <c r="AW12" s="10" t="str">
        <f>_xlfn.XLOOKUP(A12,'United MAMP All Components'!A:A,'United MAMP All Components'!AP:AP)</f>
        <v>0.00</v>
      </c>
      <c r="AX12" s="10">
        <f t="shared" si="15"/>
        <v>0</v>
      </c>
      <c r="AY12" s="10">
        <f>_xlfn.XLOOKUP(A12,'Icyte Report'!A:A,'Icyte Report'!BH:BH)</f>
        <v>45193.599999999999</v>
      </c>
      <c r="AZ12" s="10" t="e">
        <f>_xlfn.XLOOKUP(A12,'United Smoothed Indirect Inelig'!A:A,'United Smoothed Indirect Inelig'!D:D)</f>
        <v>#N/A</v>
      </c>
      <c r="BA12" s="10" t="e">
        <f t="shared" si="16"/>
        <v>#N/A</v>
      </c>
      <c r="BB12" s="10">
        <f>_xlfn.XLOOKUP(A12,'Icyte Report'!A:A,'Icyte Report'!BK:BK)</f>
        <v>105339.6</v>
      </c>
      <c r="BC12" s="10" t="e">
        <f t="shared" si="17"/>
        <v>#N/A</v>
      </c>
      <c r="BD12" s="10">
        <f>_xlfn.XLOOKUP(A12,'Icyte Report'!A:A,'Icyte Report'!BN:BN)</f>
        <v>0</v>
      </c>
      <c r="BE12" s="10" t="e">
        <f>_xlfn.XLOOKUP(A12,'United Smoothed Indirect Inelig'!A:A,'United Smoothed Indirect Inelig'!C:C)</f>
        <v>#N/A</v>
      </c>
      <c r="BF12" s="10" t="e">
        <f t="shared" si="18"/>
        <v>#N/A</v>
      </c>
      <c r="BG12" s="10">
        <f>_xlfn.XLOOKUP(A12,'Icyte Report'!A:A,'Icyte Report'!BR:BR)</f>
        <v>0</v>
      </c>
      <c r="BH12" s="10" t="e">
        <f>_xlfn.XLOOKUP(A12,'United Smoothed Indirect Inelig'!A:A,'United Smoothed Indirect Inelig'!B:B)</f>
        <v>#N/A</v>
      </c>
      <c r="BI12" s="10" t="e">
        <f t="shared" si="19"/>
        <v>#N/A</v>
      </c>
      <c r="BJ12" s="10">
        <f>_xlfn.XLOOKUP(A12,'Icyte Report'!A:A,'Icyte Report'!BV:BV)</f>
        <v>257.46379310344832</v>
      </c>
      <c r="BK12" s="10" t="e">
        <f>_xlfn.XLOOKUP(A12,'United Smoothed Indirect Inelig'!A:A,'United Smoothed Indirect Inelig'!P:P)</f>
        <v>#N/A</v>
      </c>
      <c r="BL12" s="10" t="e">
        <f t="shared" si="20"/>
        <v>#N/A</v>
      </c>
      <c r="BM12" s="13">
        <f>_xlfn.XLOOKUP(A12,'Icyte Report'!A:A,'Icyte Report'!BW:BW)</f>
        <v>6.5701006500739997E-2</v>
      </c>
      <c r="BN12" s="13" t="e">
        <f>_xlfn.XLOOKUP(A12,'United Smoothed Indirect Inelig'!A:A,'United Smoothed Indirect Inelig'!G:G)+_xlfn.XLOOKUP(A12,'United Smoothed Indirect Inelig'!A:A,'United Smoothed Indirect Inelig'!H:H) + _xlfn.XLOOKUP(A12,'United Smoothed Indirect Inelig'!A:A,'United Smoothed Indirect Inelig'!I:I)+_xlfn.XLOOKUP(A12,'United Smoothed Indirect Inelig'!A:A,'United Smoothed Indirect Inelig'!J:J)</f>
        <v>#N/A</v>
      </c>
      <c r="BO12" s="18" t="e">
        <f t="shared" si="21"/>
        <v>#N/A</v>
      </c>
      <c r="BP12" s="10">
        <f>_xlfn.XLOOKUP(A12,'Icyte Report'!A:A,'Icyte Report'!BY:BY)</f>
        <v>160.04765183580071</v>
      </c>
      <c r="BQ12" s="10" t="e">
        <f>_xlfn.XLOOKUP(A12,'United Smoothed Indirect Inelig'!A:A,'United Smoothed Indirect Inelig'!L:L)+_xlfn.XLOOKUP(A12,'United Smoothed Indirect Inelig'!A:A,'United Smoothed Indirect Inelig'!M:M) + _xlfn.XLOOKUP(A12,'United Smoothed Indirect Inelig'!A:A,'United Smoothed Indirect Inelig'!N:N)+_xlfn.XLOOKUP(A12,'United Smoothed Indirect Inelig'!A:A,'United Smoothed Indirect Inelig'!O:O)</f>
        <v>#N/A</v>
      </c>
      <c r="BR12" s="10" t="e">
        <f t="shared" si="22"/>
        <v>#N/A</v>
      </c>
      <c r="BS12" s="10">
        <f>_xlfn.XLOOKUP(A12,'Icyte Report'!A:A,'Icyte Report'!BZ:BZ)</f>
        <v>585975.32448105467</v>
      </c>
      <c r="BT12" s="10" t="str">
        <f>_xlfn.XLOOKUP(A12,'United MAMP All Components'!A:A,'United MAMP All Components'!AL:AL)</f>
        <v>288,534.00</v>
      </c>
      <c r="BU12" s="10">
        <f t="shared" si="23"/>
        <v>297441.32448105467</v>
      </c>
      <c r="BV12" s="26">
        <f>_xlfn.XLOOKUP(A12,'Icyte Report'!A:A,'Icyte Report'!CA:CA)</f>
        <v>2275.9523481642</v>
      </c>
      <c r="BW12" s="22" t="str">
        <f>_xlfn.XLOOKUP(A12,'United MAMP All Components'!A:A,'United MAMP All Components'!AM:AM)</f>
        <v>1,120.68</v>
      </c>
      <c r="BX12" s="10">
        <f t="shared" si="24"/>
        <v>1155.2723481641999</v>
      </c>
      <c r="BY12" s="10">
        <f>_xlfn.XLOOKUP(A12,'Icyte Report'!A:A,'Icyte Report'!CD:CD)</f>
        <v>0</v>
      </c>
      <c r="BZ12" s="10" t="str">
        <f>_xlfn.XLOOKUP(A12,'United_Smoothed Price Concessio'!A:A,'United_Smoothed Price Concessio'!D:D)</f>
        <v>$0.00</v>
      </c>
      <c r="CA12" s="10">
        <f t="shared" si="25"/>
        <v>0</v>
      </c>
      <c r="CB12" s="10">
        <f>_xlfn.XLOOKUP(A12,'Icyte Report'!A:A,'Icyte Report'!CF:CF)</f>
        <v>2291185.6</v>
      </c>
      <c r="CC12" s="10" t="e">
        <f>_xlfn.XLOOKUP(A12,'United Smoothed Indirect Inelig'!A:A,'United Smoothed Indirect Inelig'!F:F)</f>
        <v>#N/A</v>
      </c>
      <c r="CD12" s="10" t="e">
        <f t="shared" si="26"/>
        <v>#N/A</v>
      </c>
      <c r="CE12" s="10">
        <f>_xlfn.XLOOKUP(A12,'Icyte Report'!A:A,'Icyte Report'!CL:CL)</f>
        <v>545851632.41081965</v>
      </c>
      <c r="CF12" s="10" t="str">
        <f>_xlfn.XLOOKUP(A12,'United_Smoothed Price Concessio'!A:A,'United_Smoothed Price Concessio'!H:H)</f>
        <v>$553,634,634.54</v>
      </c>
      <c r="CG12" s="10">
        <f t="shared" si="27"/>
        <v>-7783002.1291803122</v>
      </c>
      <c r="CH12" s="10">
        <f>_xlfn.XLOOKUP(A12,'Icyte Report'!A:A,'Icyte Report'!CY:CY)</f>
        <v>10687452.484431259</v>
      </c>
      <c r="CI12" s="10" t="str">
        <f>_xlfn.XLOOKUP(A12,'United_Smoothed Price Concessio'!A:A,'United_Smoothed Price Concessio'!C:C)</f>
        <v>$9,963,685.06</v>
      </c>
      <c r="CJ12" s="10">
        <f t="shared" si="28"/>
        <v>723767.42443125881</v>
      </c>
      <c r="CK12" s="10">
        <f>_xlfn.XLOOKUP(A12,'Icyte Report'!A:A,'Icyte Report'!CZ:CZ)</f>
        <v>10687452.484431259</v>
      </c>
      <c r="CL12" s="10" t="str">
        <f>_xlfn.XLOOKUP(A12,'United_Smoothed Price Concessio'!A:A,'United_Smoothed Price Concessio'!G:G)</f>
        <v>$9,963,685.06</v>
      </c>
      <c r="CM12" s="10">
        <f t="shared" si="29"/>
        <v>723767.42443125881</v>
      </c>
      <c r="CN12" s="13">
        <f>_xlfn.XLOOKUP(A12,'Icyte Report'!A:A,'Icyte Report'!DA:DA)</f>
        <v>1.95794092201E-2</v>
      </c>
      <c r="CO12" s="13" t="str">
        <f>_xlfn.XLOOKUP(A12,'United_Smoothed Price Concessio'!A:A,'United_Smoothed Price Concessio'!I:I)</f>
        <v>1.799686%</v>
      </c>
      <c r="CP12" s="10">
        <f t="shared" si="30"/>
        <v>1.5825492200999998E-3</v>
      </c>
      <c r="CQ12" s="10">
        <f>_xlfn.XLOOKUP(A12,'Icyte Report'!A:A,'Icyte Report'!DB:DB)</f>
        <v>11473.050670895689</v>
      </c>
      <c r="CR12" s="10" t="str">
        <f>_xlfn.XLOOKUP(A12,'United MAMP All Components'!A:A,'United MAMP All Components'!AX:AX)</f>
        <v>927,982.70</v>
      </c>
      <c r="CS12" s="10">
        <f t="shared" si="31"/>
        <v>-916509.64932910423</v>
      </c>
      <c r="CT12" s="10">
        <f>_xlfn.XLOOKUP(A12,'Icyte Report'!A:A,'Icyte Report'!DC:DC)</f>
        <v>11719.50648962109</v>
      </c>
      <c r="CU12" s="10" t="str">
        <f>_xlfn.XLOOKUP(A12,'United MAMP All Components'!A:A,'United MAMP All Components'!BA:BA)</f>
        <v>1,031,271.79</v>
      </c>
      <c r="CV12" s="10">
        <f t="shared" si="32"/>
        <v>-1019552.2835103789</v>
      </c>
      <c r="CW12" s="10">
        <f>_xlfn.XLOOKUP(A12,'Icyte Report'!A:A,'Icyte Report'!DD:DD)</f>
        <v>562782.76732053794</v>
      </c>
      <c r="CX12" s="10" t="str">
        <f>_xlfn.XLOOKUP(A12,'United MAMP All Components'!A:A,'United MAMP All Components'!BD:BD)</f>
        <v>49,604,334.83</v>
      </c>
      <c r="CY12" s="10">
        <f t="shared" si="33"/>
        <v>-49041552.062679462</v>
      </c>
      <c r="CZ12" s="10">
        <f>_xlfn.XLOOKUP(A12,'Icyte Report'!A:A,'Icyte Report'!DE:DE)</f>
        <v>2275.9523481642</v>
      </c>
      <c r="DA12" s="10" t="str">
        <f>_xlfn.XLOOKUP(A12,'United MAMP All Components'!A:A,'United MAMP All Components'!BE:BE)</f>
        <v>198,871.19</v>
      </c>
      <c r="DB12" s="10">
        <f t="shared" si="34"/>
        <v>-196595.23765183581</v>
      </c>
      <c r="DC12" s="10">
        <f>_xlfn.XLOOKUP(A12,'Icyte Report'!A:A,'Icyte Report'!DI:DI)</f>
        <v>249.86806100000001</v>
      </c>
      <c r="DD12" s="10" t="str">
        <f>_xlfn.XLOOKUP(A12,'United MAMP All Components'!A:A,'United MAMP All Components'!BG:BG)</f>
        <v>249.429465</v>
      </c>
      <c r="DE12" s="10">
        <f t="shared" si="35"/>
        <v>0.43859600000001819</v>
      </c>
    </row>
    <row r="13" spans="1:109" x14ac:dyDescent="0.35">
      <c r="A13" s="10" t="s">
        <v>154</v>
      </c>
      <c r="B13" s="10" t="s">
        <v>429</v>
      </c>
      <c r="C13" s="10">
        <f>_xlfn.XLOOKUP(A13,'Icyte Report'!A:A,'Icyte Report'!W:W)</f>
        <v>0</v>
      </c>
      <c r="D13" s="10" t="str">
        <f>_xlfn.XLOOKUP(A13,'United MAMP All Components'!A:A,'United MAMP All Components'!B:B)</f>
        <v>0.00</v>
      </c>
      <c r="E13" s="10">
        <f t="shared" si="0"/>
        <v>0</v>
      </c>
      <c r="F13" s="10">
        <f>_xlfn.XLOOKUP(A13,'Icyte Report'!A:A,'Icyte Report'!X:X)</f>
        <v>0</v>
      </c>
      <c r="G13" s="10" t="str">
        <f>_xlfn.XLOOKUP(A13,'United MAMP All Components'!A:A,'United MAMP All Components'!C:C)</f>
        <v>0.00</v>
      </c>
      <c r="H13" s="10">
        <f t="shared" si="1"/>
        <v>0</v>
      </c>
      <c r="I13" s="10">
        <f>_xlfn.XLOOKUP(A13,'Icyte Report'!A:A,'Icyte Report'!Y:Y)</f>
        <v>0</v>
      </c>
      <c r="J13" s="10" t="str">
        <f>_xlfn.XLOOKUP(A13,'United MAMP All Components'!A:A,'United MAMP All Components'!E:E)</f>
        <v>0.00</v>
      </c>
      <c r="K13" s="10">
        <f t="shared" si="2"/>
        <v>0</v>
      </c>
      <c r="L13" s="10">
        <f>_xlfn.XLOOKUP(A13,'Icyte Report'!A:A,'Icyte Report'!Z:Z)</f>
        <v>0</v>
      </c>
      <c r="M13" s="10" t="str">
        <f>_xlfn.XLOOKUP(A13,'United MAMP All Components'!A:A,'United MAMP All Components'!F:F)</f>
        <v>0.00</v>
      </c>
      <c r="N13" s="10">
        <f t="shared" si="3"/>
        <v>0</v>
      </c>
      <c r="O13" s="10">
        <f>_xlfn.XLOOKUP(A13,'Icyte Report'!A:A,'Icyte Report'!AA:AA)</f>
        <v>0</v>
      </c>
      <c r="P13" s="10" t="str">
        <f>_xlfn.XLOOKUP(A13,'United MAMP All Components'!A:A,'United MAMP All Components'!H:H)</f>
        <v>0.00</v>
      </c>
      <c r="Q13" s="10">
        <f t="shared" si="4"/>
        <v>0</v>
      </c>
      <c r="R13" s="10">
        <f>_xlfn.XLOOKUP(A13,'Icyte Report'!A:A,'Icyte Report'!AB:AB)</f>
        <v>0</v>
      </c>
      <c r="S13" s="10" t="str">
        <f>_xlfn.XLOOKUP(A13,'United MAMP All Components'!A:A,'United MAMP All Components'!I:I)</f>
        <v>0.00</v>
      </c>
      <c r="T13" s="10">
        <f t="shared" si="5"/>
        <v>0</v>
      </c>
      <c r="U13" s="10">
        <f>_xlfn.XLOOKUP(A13,'Icyte Report'!A:A,'Icyte Report'!AC:AC)</f>
        <v>0</v>
      </c>
      <c r="V13" s="10" t="str">
        <f>_xlfn.XLOOKUP(A13,'United MAMP All Components'!A:A,'United MAMP All Components'!K:K)</f>
        <v>0.00</v>
      </c>
      <c r="W13" s="10">
        <f t="shared" si="6"/>
        <v>0</v>
      </c>
      <c r="X13" s="10">
        <f>_xlfn.XLOOKUP(A13,'Icyte Report'!A:A,'Icyte Report'!AD:AD)</f>
        <v>0</v>
      </c>
      <c r="Y13" s="10" t="str">
        <f>_xlfn.XLOOKUP(A13,'United MAMP All Components'!A:A,'United MAMP All Components'!L:L)</f>
        <v>0.00</v>
      </c>
      <c r="Z13" s="10">
        <f t="shared" si="7"/>
        <v>0</v>
      </c>
      <c r="AA13" s="10">
        <f>_xlfn.XLOOKUP(A13,'Icyte Report'!A:A,'Icyte Report'!AE:AE)</f>
        <v>0</v>
      </c>
      <c r="AB13" s="10" t="str">
        <f>_xlfn.XLOOKUP(A13,'United MAMP All Components'!A:A,'United MAMP All Components'!N:N)</f>
        <v>0.00</v>
      </c>
      <c r="AC13" s="10">
        <f t="shared" si="8"/>
        <v>0</v>
      </c>
      <c r="AD13" s="10">
        <f>_xlfn.XLOOKUP(A13,'Icyte Report'!A:A,'Icyte Report'!AF:AF)</f>
        <v>0</v>
      </c>
      <c r="AE13" s="10" t="str">
        <f>_xlfn.XLOOKUP(A13,'United MAMP All Components'!A:A,'United MAMP All Components'!O:O)</f>
        <v>0.00</v>
      </c>
      <c r="AF13" s="10">
        <f t="shared" si="9"/>
        <v>0</v>
      </c>
      <c r="AG13" s="10">
        <f>_xlfn.XLOOKUP(A13,'Icyte Report'!A:A,'Icyte Report'!AG:AG)</f>
        <v>0</v>
      </c>
      <c r="AH13" s="10" t="str">
        <f>_xlfn.XLOOKUP(A13,'United MAMP All Components'!A:A,'United MAMP All Components'!Q:Q)</f>
        <v>0.00</v>
      </c>
      <c r="AI13" s="10">
        <f t="shared" si="10"/>
        <v>0</v>
      </c>
      <c r="AJ13" s="10">
        <f>_xlfn.XLOOKUP(A13,'Icyte Report'!A:A,'Icyte Report'!AH:AH)</f>
        <v>0</v>
      </c>
      <c r="AK13" s="10" t="str">
        <f>_xlfn.XLOOKUP(A13,'United MAMP All Components'!A:A,'United MAMP All Components'!R:R)</f>
        <v>0.00</v>
      </c>
      <c r="AL13" s="10">
        <f t="shared" si="11"/>
        <v>0</v>
      </c>
      <c r="AM13" s="10">
        <f>_xlfn.XLOOKUP(A13,'Icyte Report'!A:A,'Icyte Report'!AS:AS)</f>
        <v>0</v>
      </c>
      <c r="AN13" s="10" t="str">
        <f>_xlfn.XLOOKUP(A13,'United MAMP All Components'!A:A,'United MAMP All Components'!T:T)</f>
        <v>0.00</v>
      </c>
      <c r="AO13" s="10">
        <f t="shared" si="12"/>
        <v>0</v>
      </c>
      <c r="AP13" s="10">
        <f>_xlfn.XLOOKUP(A13,'Icyte Report'!A:A,'Icyte Report'!AT:AT)</f>
        <v>0</v>
      </c>
      <c r="AQ13" s="10" t="str">
        <f>_xlfn.XLOOKUP(A13,'United MAMP All Components'!A:A,'United MAMP All Components'!U:U)</f>
        <v>0.00</v>
      </c>
      <c r="AR13" s="10">
        <f t="shared" si="13"/>
        <v>0</v>
      </c>
      <c r="AS13" s="10">
        <f>_xlfn.XLOOKUP(A13,'Icyte Report'!A:A,'Icyte Report'!AU:AU)</f>
        <v>0</v>
      </c>
      <c r="AT13" s="10" t="str">
        <f>_xlfn.XLOOKUP(A13,'United MAMP All Components'!A:A,'United MAMP All Components'!AO:AO)</f>
        <v>0.00</v>
      </c>
      <c r="AU13" s="10">
        <f t="shared" si="14"/>
        <v>0</v>
      </c>
      <c r="AV13" s="10">
        <f>_xlfn.XLOOKUP(A13,'Icyte Report'!A:A,'Icyte Report'!AV:AV)</f>
        <v>0</v>
      </c>
      <c r="AW13" s="10" t="str">
        <f>_xlfn.XLOOKUP(A13,'United MAMP All Components'!A:A,'United MAMP All Components'!AP:AP)</f>
        <v>0.00</v>
      </c>
      <c r="AX13" s="10">
        <f t="shared" si="15"/>
        <v>0</v>
      </c>
      <c r="AY13" s="10">
        <f>_xlfn.XLOOKUP(A13,'Icyte Report'!A:A,'Icyte Report'!BH:BH)</f>
        <v>45193.599999999999</v>
      </c>
      <c r="AZ13" s="10" t="e">
        <f>_xlfn.XLOOKUP(A13,'United Smoothed Indirect Inelig'!A:A,'United Smoothed Indirect Inelig'!D:D)</f>
        <v>#N/A</v>
      </c>
      <c r="BA13" s="10" t="e">
        <f t="shared" si="16"/>
        <v>#N/A</v>
      </c>
      <c r="BB13" s="10">
        <f>_xlfn.XLOOKUP(A13,'Icyte Report'!A:A,'Icyte Report'!BK:BK)</f>
        <v>105339.6</v>
      </c>
      <c r="BC13" s="10" t="e">
        <f t="shared" si="17"/>
        <v>#N/A</v>
      </c>
      <c r="BD13" s="10">
        <f>_xlfn.XLOOKUP(A13,'Icyte Report'!A:A,'Icyte Report'!BN:BN)</f>
        <v>0</v>
      </c>
      <c r="BE13" s="10" t="e">
        <f>_xlfn.XLOOKUP(A13,'United Smoothed Indirect Inelig'!A:A,'United Smoothed Indirect Inelig'!C:C)</f>
        <v>#N/A</v>
      </c>
      <c r="BF13" s="10" t="e">
        <f t="shared" si="18"/>
        <v>#N/A</v>
      </c>
      <c r="BG13" s="10">
        <f>_xlfn.XLOOKUP(A13,'Icyte Report'!A:A,'Icyte Report'!BR:BR)</f>
        <v>0</v>
      </c>
      <c r="BH13" s="10" t="e">
        <f>_xlfn.XLOOKUP(A13,'United Smoothed Indirect Inelig'!A:A,'United Smoothed Indirect Inelig'!B:B)</f>
        <v>#N/A</v>
      </c>
      <c r="BI13" s="10" t="e">
        <f t="shared" si="19"/>
        <v>#N/A</v>
      </c>
      <c r="BJ13" s="10">
        <f>_xlfn.XLOOKUP(A13,'Icyte Report'!A:A,'Icyte Report'!BV:BV)</f>
        <v>0</v>
      </c>
      <c r="BK13" s="10" t="e">
        <f>_xlfn.XLOOKUP(A13,'United Smoothed Indirect Inelig'!A:A,'United Smoothed Indirect Inelig'!P:P)</f>
        <v>#N/A</v>
      </c>
      <c r="BL13" s="10" t="e">
        <f t="shared" si="20"/>
        <v>#N/A</v>
      </c>
      <c r="BM13" s="13">
        <f>_xlfn.XLOOKUP(A13,'Icyte Report'!A:A,'Icyte Report'!BW:BW)</f>
        <v>6.5701006500739997E-2</v>
      </c>
      <c r="BN13" s="13" t="e">
        <f>_xlfn.XLOOKUP(A13,'United Smoothed Indirect Inelig'!A:A,'United Smoothed Indirect Inelig'!G:G)+_xlfn.XLOOKUP(A13,'United Smoothed Indirect Inelig'!A:A,'United Smoothed Indirect Inelig'!H:H) + _xlfn.XLOOKUP(A13,'United Smoothed Indirect Inelig'!A:A,'United Smoothed Indirect Inelig'!I:I)+_xlfn.XLOOKUP(A13,'United Smoothed Indirect Inelig'!A:A,'United Smoothed Indirect Inelig'!J:J)</f>
        <v>#N/A</v>
      </c>
      <c r="BO13" s="18" t="e">
        <f t="shared" si="21"/>
        <v>#N/A</v>
      </c>
      <c r="BP13" s="10">
        <f>_xlfn.XLOOKUP(A13,'Icyte Report'!A:A,'Icyte Report'!BY:BY)</f>
        <v>0</v>
      </c>
      <c r="BQ13" s="10" t="e">
        <f>_xlfn.XLOOKUP(A13,'United Smoothed Indirect Inelig'!A:A,'United Smoothed Indirect Inelig'!L:L)+_xlfn.XLOOKUP(A13,'United Smoothed Indirect Inelig'!A:A,'United Smoothed Indirect Inelig'!M:M) + _xlfn.XLOOKUP(A13,'United Smoothed Indirect Inelig'!A:A,'United Smoothed Indirect Inelig'!N:N)+_xlfn.XLOOKUP(A13,'United Smoothed Indirect Inelig'!A:A,'United Smoothed Indirect Inelig'!O:O)</f>
        <v>#N/A</v>
      </c>
      <c r="BR13" s="10" t="e">
        <f t="shared" si="22"/>
        <v>#N/A</v>
      </c>
      <c r="BS13" s="10">
        <f>_xlfn.XLOOKUP(A13,'Icyte Report'!A:A,'Icyte Report'!BZ:BZ)</f>
        <v>0</v>
      </c>
      <c r="BT13" s="10" t="str">
        <f>_xlfn.XLOOKUP(A13,'United MAMP All Components'!A:A,'United MAMP All Components'!AL:AL)</f>
        <v>0.00</v>
      </c>
      <c r="BU13" s="10">
        <f t="shared" si="23"/>
        <v>0</v>
      </c>
      <c r="BV13" s="26">
        <f>_xlfn.XLOOKUP(A13,'Icyte Report'!A:A,'Icyte Report'!CA:CA)</f>
        <v>0</v>
      </c>
      <c r="BW13" s="22" t="str">
        <f>_xlfn.XLOOKUP(A13,'United MAMP All Components'!A:A,'United MAMP All Components'!AM:AM)</f>
        <v>0.00</v>
      </c>
      <c r="BX13" s="10">
        <f t="shared" si="24"/>
        <v>0</v>
      </c>
      <c r="BY13" s="10">
        <f>_xlfn.XLOOKUP(A13,'Icyte Report'!A:A,'Icyte Report'!CD:CD)</f>
        <v>0</v>
      </c>
      <c r="BZ13" s="10" t="str">
        <f>_xlfn.XLOOKUP(A13,'United_Smoothed Price Concessio'!A:A,'United_Smoothed Price Concessio'!D:D)</f>
        <v>$0.00</v>
      </c>
      <c r="CA13" s="10">
        <f t="shared" si="25"/>
        <v>0</v>
      </c>
      <c r="CB13" s="10">
        <f>_xlfn.XLOOKUP(A13,'Icyte Report'!A:A,'Icyte Report'!CF:CF)</f>
        <v>2291185.6</v>
      </c>
      <c r="CC13" s="10" t="e">
        <f>_xlfn.XLOOKUP(A13,'United Smoothed Indirect Inelig'!A:A,'United Smoothed Indirect Inelig'!F:F)</f>
        <v>#N/A</v>
      </c>
      <c r="CD13" s="10" t="e">
        <f t="shared" si="26"/>
        <v>#N/A</v>
      </c>
      <c r="CE13" s="10">
        <f>_xlfn.XLOOKUP(A13,'Icyte Report'!A:A,'Icyte Report'!CL:CL)</f>
        <v>515113726.24581969</v>
      </c>
      <c r="CF13" s="10" t="str">
        <f>_xlfn.XLOOKUP(A13,'United_Smoothed Price Concessio'!A:A,'United_Smoothed Price Concessio'!H:H)</f>
        <v>$553,634,634.54</v>
      </c>
      <c r="CG13" s="10">
        <f t="shared" si="27"/>
        <v>-38520908.294180274</v>
      </c>
      <c r="CH13" s="10">
        <f>_xlfn.XLOOKUP(A13,'Icyte Report'!A:A,'Icyte Report'!CY:CY)</f>
        <v>10687452.484431259</v>
      </c>
      <c r="CI13" s="10" t="str">
        <f>_xlfn.XLOOKUP(A13,'United_Smoothed Price Concessio'!A:A,'United_Smoothed Price Concessio'!C:C)</f>
        <v>$9,963,685.06</v>
      </c>
      <c r="CJ13" s="10">
        <f t="shared" si="28"/>
        <v>723767.42443125881</v>
      </c>
      <c r="CK13" s="10">
        <f>_xlfn.XLOOKUP(A13,'Icyte Report'!A:A,'Icyte Report'!CZ:CZ)</f>
        <v>10687452.484431259</v>
      </c>
      <c r="CL13" s="10" t="str">
        <f>_xlfn.XLOOKUP(A13,'United_Smoothed Price Concessio'!A:A,'United_Smoothed Price Concessio'!G:G)</f>
        <v>$9,963,685.06</v>
      </c>
      <c r="CM13" s="10">
        <f t="shared" si="29"/>
        <v>723767.42443125881</v>
      </c>
      <c r="CN13" s="13">
        <f>_xlfn.XLOOKUP(A13,'Icyte Report'!A:A,'Icyte Report'!DA:DA)</f>
        <v>2.074775324339E-2</v>
      </c>
      <c r="CO13" s="13" t="str">
        <f>_xlfn.XLOOKUP(A13,'United_Smoothed Price Concessio'!A:A,'United_Smoothed Price Concessio'!I:I)</f>
        <v>1.799686%</v>
      </c>
      <c r="CP13" s="10">
        <f t="shared" si="30"/>
        <v>2.7508932433899999E-3</v>
      </c>
      <c r="CQ13" s="10">
        <f>_xlfn.XLOOKUP(A13,'Icyte Report'!A:A,'Icyte Report'!DB:DB)</f>
        <v>0</v>
      </c>
      <c r="CR13" s="10" t="str">
        <f>_xlfn.XLOOKUP(A13,'United MAMP All Components'!A:A,'United MAMP All Components'!AX:AX)</f>
        <v>927,982.70</v>
      </c>
      <c r="CS13" s="10">
        <f t="shared" si="31"/>
        <v>-927982.7</v>
      </c>
      <c r="CT13" s="10">
        <f>_xlfn.XLOOKUP(A13,'Icyte Report'!A:A,'Icyte Report'!DC:DC)</f>
        <v>0</v>
      </c>
      <c r="CU13" s="10" t="str">
        <f>_xlfn.XLOOKUP(A13,'United MAMP All Components'!A:A,'United MAMP All Components'!BA:BA)</f>
        <v>1,031,271.79</v>
      </c>
      <c r="CV13" s="10">
        <f t="shared" si="32"/>
        <v>-1031271.79</v>
      </c>
      <c r="CW13" s="10">
        <f>_xlfn.XLOOKUP(A13,'Icyte Report'!A:A,'Icyte Report'!DD:DD)</f>
        <v>0</v>
      </c>
      <c r="CX13" s="10" t="str">
        <f>_xlfn.XLOOKUP(A13,'United MAMP All Components'!A:A,'United MAMP All Components'!BD:BD)</f>
        <v>49,604,334.83</v>
      </c>
      <c r="CY13" s="10">
        <f t="shared" si="33"/>
        <v>-49604334.829999998</v>
      </c>
      <c r="CZ13" s="10">
        <f>_xlfn.XLOOKUP(A13,'Icyte Report'!A:A,'Icyte Report'!DE:DE)</f>
        <v>0</v>
      </c>
      <c r="DA13" s="10" t="str">
        <f>_xlfn.XLOOKUP(A13,'United MAMP All Components'!A:A,'United MAMP All Components'!BE:BE)</f>
        <v>198,871.19</v>
      </c>
      <c r="DB13" s="10">
        <f t="shared" si="34"/>
        <v>-198871.19</v>
      </c>
      <c r="DC13" s="10">
        <f>_xlfn.XLOOKUP(A13,'Icyte Report'!A:A,'Icyte Report'!DI:DI)</f>
        <v>249.86806100000001</v>
      </c>
      <c r="DD13" s="10" t="str">
        <f>_xlfn.XLOOKUP(A13,'United MAMP All Components'!A:A,'United MAMP All Components'!BG:BG)</f>
        <v>249.429465</v>
      </c>
      <c r="DE13" s="10">
        <f t="shared" si="35"/>
        <v>0.43859600000001819</v>
      </c>
    </row>
    <row r="14" spans="1:109" x14ac:dyDescent="0.35">
      <c r="A14" s="10" t="s">
        <v>155</v>
      </c>
      <c r="B14" s="10" t="s">
        <v>430</v>
      </c>
      <c r="C14" s="10">
        <f>_xlfn.XLOOKUP(A14,'Icyte Report'!A:A,'Icyte Report'!W:W)</f>
        <v>108327.96</v>
      </c>
      <c r="D14" s="10" t="str">
        <f>_xlfn.XLOOKUP(A14,'United MAMP All Components'!A:A,'United MAMP All Components'!B:B)</f>
        <v>149,992.56</v>
      </c>
      <c r="E14" s="10">
        <f t="shared" si="0"/>
        <v>-41664.599999999991</v>
      </c>
      <c r="F14" s="10">
        <f>_xlfn.XLOOKUP(A14,'Icyte Report'!A:A,'Icyte Report'!X:X)</f>
        <v>18600</v>
      </c>
      <c r="G14" s="10" t="str">
        <f>_xlfn.XLOOKUP(A14,'United MAMP All Components'!A:A,'United MAMP All Components'!C:C)</f>
        <v>22,800.00</v>
      </c>
      <c r="H14" s="10">
        <f t="shared" si="1"/>
        <v>-4200</v>
      </c>
      <c r="I14" s="10">
        <f>_xlfn.XLOOKUP(A14,'Icyte Report'!A:A,'Icyte Report'!Y:Y)</f>
        <v>0</v>
      </c>
      <c r="J14" s="10" t="str">
        <f>_xlfn.XLOOKUP(A14,'United MAMP All Components'!A:A,'United MAMP All Components'!E:E)</f>
        <v>0.00</v>
      </c>
      <c r="K14" s="10">
        <f t="shared" si="2"/>
        <v>0</v>
      </c>
      <c r="L14" s="10">
        <f>_xlfn.XLOOKUP(A14,'Icyte Report'!A:A,'Icyte Report'!Z:Z)</f>
        <v>0</v>
      </c>
      <c r="M14" s="10" t="str">
        <f>_xlfn.XLOOKUP(A14,'United MAMP All Components'!A:A,'United MAMP All Components'!F:F)</f>
        <v>0.00</v>
      </c>
      <c r="N14" s="10">
        <f t="shared" si="3"/>
        <v>0</v>
      </c>
      <c r="O14" s="10">
        <f>_xlfn.XLOOKUP(A14,'Icyte Report'!A:A,'Icyte Report'!AA:AA)</f>
        <v>108327.96</v>
      </c>
      <c r="P14" s="10" t="str">
        <f>_xlfn.XLOOKUP(A14,'United MAMP All Components'!A:A,'United MAMP All Components'!H:H)</f>
        <v>149,992.56</v>
      </c>
      <c r="Q14" s="10">
        <f t="shared" si="4"/>
        <v>-41664.599999999991</v>
      </c>
      <c r="R14" s="10">
        <f>_xlfn.XLOOKUP(A14,'Icyte Report'!A:A,'Icyte Report'!AB:AB)</f>
        <v>15600</v>
      </c>
      <c r="S14" s="10" t="str">
        <f>_xlfn.XLOOKUP(A14,'United MAMP All Components'!A:A,'United MAMP All Components'!I:I)</f>
        <v>21,600.00</v>
      </c>
      <c r="T14" s="10">
        <f t="shared" si="5"/>
        <v>-6000</v>
      </c>
      <c r="U14" s="10">
        <f>_xlfn.XLOOKUP(A14,'Icyte Report'!A:A,'Icyte Report'!AC:AC)</f>
        <v>0</v>
      </c>
      <c r="V14" s="10" t="str">
        <f>_xlfn.XLOOKUP(A14,'United MAMP All Components'!A:A,'United MAMP All Components'!K:K)</f>
        <v>0.00</v>
      </c>
      <c r="W14" s="10">
        <f t="shared" si="6"/>
        <v>0</v>
      </c>
      <c r="X14" s="10">
        <f>_xlfn.XLOOKUP(A14,'Icyte Report'!A:A,'Icyte Report'!AD:AD)</f>
        <v>0</v>
      </c>
      <c r="Y14" s="10" t="str">
        <f>_xlfn.XLOOKUP(A14,'United MAMP All Components'!A:A,'United MAMP All Components'!L:L)</f>
        <v>0.00</v>
      </c>
      <c r="Z14" s="10">
        <f t="shared" si="7"/>
        <v>0</v>
      </c>
      <c r="AA14" s="10">
        <f>_xlfn.XLOOKUP(A14,'Icyte Report'!A:A,'Icyte Report'!AE:AE)</f>
        <v>0</v>
      </c>
      <c r="AB14" s="10" t="str">
        <f>_xlfn.XLOOKUP(A14,'United MAMP All Components'!A:A,'United MAMP All Components'!N:N)</f>
        <v>0.00</v>
      </c>
      <c r="AC14" s="10">
        <f t="shared" si="8"/>
        <v>0</v>
      </c>
      <c r="AD14" s="10">
        <f>_xlfn.XLOOKUP(A14,'Icyte Report'!A:A,'Icyte Report'!AF:AF)</f>
        <v>3000</v>
      </c>
      <c r="AE14" s="10" t="str">
        <f>_xlfn.XLOOKUP(A14,'United MAMP All Components'!A:A,'United MAMP All Components'!O:O)</f>
        <v>1,200.00</v>
      </c>
      <c r="AF14" s="10">
        <f t="shared" si="9"/>
        <v>1800</v>
      </c>
      <c r="AG14" s="10">
        <f>_xlfn.XLOOKUP(A14,'Icyte Report'!A:A,'Icyte Report'!AG:AG)</f>
        <v>0</v>
      </c>
      <c r="AH14" s="10" t="str">
        <f>_xlfn.XLOOKUP(A14,'United MAMP All Components'!A:A,'United MAMP All Components'!Q:Q)</f>
        <v>0.00</v>
      </c>
      <c r="AI14" s="10">
        <f t="shared" si="10"/>
        <v>0</v>
      </c>
      <c r="AJ14" s="10">
        <f>_xlfn.XLOOKUP(A14,'Icyte Report'!A:A,'Icyte Report'!AH:AH)</f>
        <v>0</v>
      </c>
      <c r="AK14" s="10" t="str">
        <f>_xlfn.XLOOKUP(A14,'United MAMP All Components'!A:A,'United MAMP All Components'!R:R)</f>
        <v>0.00</v>
      </c>
      <c r="AL14" s="10">
        <f t="shared" si="11"/>
        <v>0</v>
      </c>
      <c r="AM14" s="10">
        <f>_xlfn.XLOOKUP(A14,'Icyte Report'!A:A,'Icyte Report'!AS:AS)</f>
        <v>0</v>
      </c>
      <c r="AN14" s="10" t="str">
        <f>_xlfn.XLOOKUP(A14,'United MAMP All Components'!A:A,'United MAMP All Components'!T:T)</f>
        <v>0.00</v>
      </c>
      <c r="AO14" s="10">
        <f t="shared" si="12"/>
        <v>0</v>
      </c>
      <c r="AP14" s="10">
        <f>_xlfn.XLOOKUP(A14,'Icyte Report'!A:A,'Icyte Report'!AT:AT)</f>
        <v>0</v>
      </c>
      <c r="AQ14" s="10" t="str">
        <f>_xlfn.XLOOKUP(A14,'United MAMP All Components'!A:A,'United MAMP All Components'!U:U)</f>
        <v>0.00</v>
      </c>
      <c r="AR14" s="10">
        <f t="shared" si="13"/>
        <v>0</v>
      </c>
      <c r="AS14" s="10">
        <f>_xlfn.XLOOKUP(A14,'Icyte Report'!A:A,'Icyte Report'!AU:AU)</f>
        <v>0</v>
      </c>
      <c r="AT14" s="10" t="str">
        <f>_xlfn.XLOOKUP(A14,'United MAMP All Components'!A:A,'United MAMP All Components'!AO:AO)</f>
        <v>0.00</v>
      </c>
      <c r="AU14" s="10">
        <f t="shared" si="14"/>
        <v>0</v>
      </c>
      <c r="AV14" s="10">
        <f>_xlfn.XLOOKUP(A14,'Icyte Report'!A:A,'Icyte Report'!AV:AV)</f>
        <v>0</v>
      </c>
      <c r="AW14" s="10" t="str">
        <f>_xlfn.XLOOKUP(A14,'United MAMP All Components'!A:A,'United MAMP All Components'!AP:AP)</f>
        <v>0.00</v>
      </c>
      <c r="AX14" s="10">
        <f t="shared" si="15"/>
        <v>0</v>
      </c>
      <c r="AY14" s="10">
        <f>_xlfn.XLOOKUP(A14,'Icyte Report'!A:A,'Icyte Report'!BH:BH)</f>
        <v>2700</v>
      </c>
      <c r="AZ14" s="10" t="e">
        <f>_xlfn.XLOOKUP(A14,'United Smoothed Indirect Inelig'!A:A,'United Smoothed Indirect Inelig'!D:D)</f>
        <v>#N/A</v>
      </c>
      <c r="BA14" s="10" t="e">
        <f t="shared" si="16"/>
        <v>#N/A</v>
      </c>
      <c r="BB14" s="10">
        <f>_xlfn.XLOOKUP(A14,'Icyte Report'!A:A,'Icyte Report'!BK:BK)</f>
        <v>208500</v>
      </c>
      <c r="BC14" s="10" t="e">
        <f t="shared" si="17"/>
        <v>#N/A</v>
      </c>
      <c r="BD14" s="10">
        <f>_xlfn.XLOOKUP(A14,'Icyte Report'!A:A,'Icyte Report'!BN:BN)</f>
        <v>0</v>
      </c>
      <c r="BE14" s="10" t="e">
        <f>_xlfn.XLOOKUP(A14,'United Smoothed Indirect Inelig'!A:A,'United Smoothed Indirect Inelig'!C:C)</f>
        <v>#N/A</v>
      </c>
      <c r="BF14" s="10" t="e">
        <f t="shared" si="18"/>
        <v>#N/A</v>
      </c>
      <c r="BG14" s="10">
        <f>_xlfn.XLOOKUP(A14,'Icyte Report'!A:A,'Icyte Report'!BR:BR)</f>
        <v>0</v>
      </c>
      <c r="BH14" s="10" t="e">
        <f>_xlfn.XLOOKUP(A14,'United Smoothed Indirect Inelig'!A:A,'United Smoothed Indirect Inelig'!B:B)</f>
        <v>#N/A</v>
      </c>
      <c r="BI14" s="10" t="e">
        <f t="shared" si="19"/>
        <v>#N/A</v>
      </c>
      <c r="BJ14" s="10">
        <f>_xlfn.XLOOKUP(A14,'Icyte Report'!A:A,'Icyte Report'!BV:BV)</f>
        <v>0</v>
      </c>
      <c r="BK14" s="10" t="e">
        <f>_xlfn.XLOOKUP(A14,'United Smoothed Indirect Inelig'!A:A,'United Smoothed Indirect Inelig'!P:P)</f>
        <v>#N/A</v>
      </c>
      <c r="BL14" s="10" t="e">
        <f t="shared" si="20"/>
        <v>#N/A</v>
      </c>
      <c r="BM14" s="13">
        <f>_xlfn.XLOOKUP(A14,'Icyte Report'!A:A,'Icyte Report'!BW:BW)</f>
        <v>0</v>
      </c>
      <c r="BN14" s="13" t="e">
        <f>_xlfn.XLOOKUP(A14,'United Smoothed Indirect Inelig'!A:A,'United Smoothed Indirect Inelig'!G:G)+_xlfn.XLOOKUP(A14,'United Smoothed Indirect Inelig'!A:A,'United Smoothed Indirect Inelig'!H:H) + _xlfn.XLOOKUP(A14,'United Smoothed Indirect Inelig'!A:A,'United Smoothed Indirect Inelig'!I:I)+_xlfn.XLOOKUP(A14,'United Smoothed Indirect Inelig'!A:A,'United Smoothed Indirect Inelig'!J:J)</f>
        <v>#N/A</v>
      </c>
      <c r="BO14" s="18" t="e">
        <f t="shared" si="21"/>
        <v>#N/A</v>
      </c>
      <c r="BP14" s="10">
        <f>_xlfn.XLOOKUP(A14,'Icyte Report'!A:A,'Icyte Report'!BY:BY)</f>
        <v>0</v>
      </c>
      <c r="BQ14" s="10" t="e">
        <f>_xlfn.XLOOKUP(A14,'United Smoothed Indirect Inelig'!A:A,'United Smoothed Indirect Inelig'!L:L)+_xlfn.XLOOKUP(A14,'United Smoothed Indirect Inelig'!A:A,'United Smoothed Indirect Inelig'!M:M) + _xlfn.XLOOKUP(A14,'United Smoothed Indirect Inelig'!A:A,'United Smoothed Indirect Inelig'!N:N)+_xlfn.XLOOKUP(A14,'United Smoothed Indirect Inelig'!A:A,'United Smoothed Indirect Inelig'!O:O)</f>
        <v>#N/A</v>
      </c>
      <c r="BR14" s="10" t="e">
        <f t="shared" si="22"/>
        <v>#N/A</v>
      </c>
      <c r="BS14" s="10">
        <f>_xlfn.XLOOKUP(A14,'Icyte Report'!A:A,'Icyte Report'!BZ:BZ)</f>
        <v>0</v>
      </c>
      <c r="BT14" s="10" t="str">
        <f>_xlfn.XLOOKUP(A14,'United MAMP All Components'!A:A,'United MAMP All Components'!AL:AL)</f>
        <v>0.00</v>
      </c>
      <c r="BU14" s="10">
        <f t="shared" si="23"/>
        <v>0</v>
      </c>
      <c r="BV14" s="26">
        <f>_xlfn.XLOOKUP(A14,'Icyte Report'!A:A,'Icyte Report'!CA:CA)</f>
        <v>0</v>
      </c>
      <c r="BW14" s="22" t="str">
        <f>_xlfn.XLOOKUP(A14,'United MAMP All Components'!A:A,'United MAMP All Components'!AM:AM)</f>
        <v>0.00</v>
      </c>
      <c r="BX14" s="10">
        <f t="shared" si="24"/>
        <v>0</v>
      </c>
      <c r="BY14" s="10">
        <f>_xlfn.XLOOKUP(A14,'Icyte Report'!A:A,'Icyte Report'!CD:CD)</f>
        <v>0</v>
      </c>
      <c r="BZ14" s="10" t="str">
        <f>_xlfn.XLOOKUP(A14,'United_Smoothed Price Concessio'!A:A,'United_Smoothed Price Concessio'!D:D)</f>
        <v>$0.00</v>
      </c>
      <c r="CA14" s="10">
        <f t="shared" si="25"/>
        <v>0</v>
      </c>
      <c r="CB14" s="10">
        <f>_xlfn.XLOOKUP(A14,'Icyte Report'!A:A,'Icyte Report'!CF:CF)</f>
        <v>0</v>
      </c>
      <c r="CC14" s="10" t="e">
        <f>_xlfn.XLOOKUP(A14,'United Smoothed Indirect Inelig'!A:A,'United Smoothed Indirect Inelig'!F:F)</f>
        <v>#N/A</v>
      </c>
      <c r="CD14" s="10" t="e">
        <f t="shared" si="26"/>
        <v>#N/A</v>
      </c>
      <c r="CE14" s="10">
        <f>_xlfn.XLOOKUP(A14,'Icyte Report'!A:A,'Icyte Report'!CL:CL)</f>
        <v>-1437961.95147541</v>
      </c>
      <c r="CF14" s="10" t="str">
        <f>_xlfn.XLOOKUP(A14,'United_Smoothed Price Concessio'!A:A,'United_Smoothed Price Concessio'!H:H)</f>
        <v>$0.00</v>
      </c>
      <c r="CG14" s="10">
        <f t="shared" si="27"/>
        <v>-1437961.95147541</v>
      </c>
      <c r="CH14" s="10">
        <f>_xlfn.XLOOKUP(A14,'Icyte Report'!A:A,'Icyte Report'!CY:CY)</f>
        <v>0</v>
      </c>
      <c r="CI14" s="10" t="str">
        <f>_xlfn.XLOOKUP(A14,'United_Smoothed Price Concessio'!A:A,'United_Smoothed Price Concessio'!C:C)</f>
        <v>$0.00</v>
      </c>
      <c r="CJ14" s="10">
        <f t="shared" si="28"/>
        <v>0</v>
      </c>
      <c r="CK14" s="10">
        <f>_xlfn.XLOOKUP(A14,'Icyte Report'!A:A,'Icyte Report'!CZ:CZ)</f>
        <v>0</v>
      </c>
      <c r="CL14" s="10" t="str">
        <f>_xlfn.XLOOKUP(A14,'United_Smoothed Price Concessio'!A:A,'United_Smoothed Price Concessio'!G:G)</f>
        <v>$0.00</v>
      </c>
      <c r="CM14" s="10">
        <f t="shared" si="29"/>
        <v>0</v>
      </c>
      <c r="CN14" s="13">
        <f>_xlfn.XLOOKUP(A14,'Icyte Report'!A:A,'Icyte Report'!DA:DA)</f>
        <v>0</v>
      </c>
      <c r="CO14" s="13" t="str">
        <f>_xlfn.XLOOKUP(A14,'United_Smoothed Price Concessio'!A:A,'United_Smoothed Price Concessio'!I:I)</f>
        <v>0.000000%</v>
      </c>
      <c r="CP14" s="10">
        <f t="shared" si="30"/>
        <v>0</v>
      </c>
      <c r="CQ14" s="10">
        <f>_xlfn.XLOOKUP(A14,'Icyte Report'!A:A,'Icyte Report'!DB:DB)</f>
        <v>0</v>
      </c>
      <c r="CR14" s="10" t="str">
        <f>_xlfn.XLOOKUP(A14,'United MAMP All Components'!A:A,'United MAMP All Components'!AX:AX)</f>
        <v>0.00</v>
      </c>
      <c r="CS14" s="10">
        <f t="shared" si="31"/>
        <v>0</v>
      </c>
      <c r="CT14" s="10">
        <f>_xlfn.XLOOKUP(A14,'Icyte Report'!A:A,'Icyte Report'!DC:DC)</f>
        <v>0</v>
      </c>
      <c r="CU14" s="10" t="str">
        <f>_xlfn.XLOOKUP(A14,'United MAMP All Components'!A:A,'United MAMP All Components'!BA:BA)</f>
        <v>0.00</v>
      </c>
      <c r="CV14" s="10">
        <f t="shared" si="32"/>
        <v>0</v>
      </c>
      <c r="CW14" s="10">
        <f>_xlfn.XLOOKUP(A14,'Icyte Report'!A:A,'Icyte Report'!DD:DD)</f>
        <v>0</v>
      </c>
      <c r="CX14" s="10" t="str">
        <f>_xlfn.XLOOKUP(A14,'United MAMP All Components'!A:A,'United MAMP All Components'!BD:BD)</f>
        <v>0.00</v>
      </c>
      <c r="CY14" s="10">
        <f t="shared" si="33"/>
        <v>0</v>
      </c>
      <c r="CZ14" s="10">
        <f>_xlfn.XLOOKUP(A14,'Icyte Report'!A:A,'Icyte Report'!DE:DE)</f>
        <v>0</v>
      </c>
      <c r="DA14" s="10" t="str">
        <f>_xlfn.XLOOKUP(A14,'United MAMP All Components'!A:A,'United MAMP All Components'!BE:BE)</f>
        <v>0.00</v>
      </c>
      <c r="DB14" s="10">
        <f t="shared" si="34"/>
        <v>0</v>
      </c>
      <c r="DC14" s="10">
        <f>_xlfn.XLOOKUP(A14,'Icyte Report'!A:A,'Icyte Report'!DI:DI)</f>
        <v>6.9440999999999997</v>
      </c>
      <c r="DD14" s="10" t="str">
        <f>_xlfn.XLOOKUP(A14,'United MAMP All Components'!A:A,'United MAMP All Components'!BG:BG)</f>
        <v>6.944100</v>
      </c>
      <c r="DE14" s="10">
        <f t="shared" si="35"/>
        <v>0</v>
      </c>
    </row>
    <row r="15" spans="1:109" x14ac:dyDescent="0.35">
      <c r="A15" s="10" t="s">
        <v>158</v>
      </c>
      <c r="B15" s="10" t="s">
        <v>430</v>
      </c>
      <c r="C15" s="10">
        <f>_xlfn.XLOOKUP(A15,'Icyte Report'!A:A,'Icyte Report'!W:W)</f>
        <v>0</v>
      </c>
      <c r="D15" s="10" t="str">
        <f>_xlfn.XLOOKUP(A15,'United MAMP All Components'!A:A,'United MAMP All Components'!B:B)</f>
        <v>0.00</v>
      </c>
      <c r="E15" s="10">
        <f t="shared" si="0"/>
        <v>0</v>
      </c>
      <c r="F15" s="10">
        <f>_xlfn.XLOOKUP(A15,'Icyte Report'!A:A,'Icyte Report'!X:X)</f>
        <v>0</v>
      </c>
      <c r="G15" s="10" t="str">
        <f>_xlfn.XLOOKUP(A15,'United MAMP All Components'!A:A,'United MAMP All Components'!C:C)</f>
        <v>0.00</v>
      </c>
      <c r="H15" s="10">
        <f t="shared" si="1"/>
        <v>0</v>
      </c>
      <c r="I15" s="10">
        <f>_xlfn.XLOOKUP(A15,'Icyte Report'!A:A,'Icyte Report'!Y:Y)</f>
        <v>0</v>
      </c>
      <c r="J15" s="10" t="str">
        <f>_xlfn.XLOOKUP(A15,'United MAMP All Components'!A:A,'United MAMP All Components'!E:E)</f>
        <v>0.00</v>
      </c>
      <c r="K15" s="10">
        <f t="shared" si="2"/>
        <v>0</v>
      </c>
      <c r="L15" s="10">
        <f>_xlfn.XLOOKUP(A15,'Icyte Report'!A:A,'Icyte Report'!Z:Z)</f>
        <v>0</v>
      </c>
      <c r="M15" s="10" t="str">
        <f>_xlfn.XLOOKUP(A15,'United MAMP All Components'!A:A,'United MAMP All Components'!F:F)</f>
        <v>0.00</v>
      </c>
      <c r="N15" s="10">
        <f t="shared" si="3"/>
        <v>0</v>
      </c>
      <c r="O15" s="10">
        <f>_xlfn.XLOOKUP(A15,'Icyte Report'!A:A,'Icyte Report'!AA:AA)</f>
        <v>0</v>
      </c>
      <c r="P15" s="10" t="str">
        <f>_xlfn.XLOOKUP(A15,'United MAMP All Components'!A:A,'United MAMP All Components'!H:H)</f>
        <v>0.00</v>
      </c>
      <c r="Q15" s="10">
        <f t="shared" si="4"/>
        <v>0</v>
      </c>
      <c r="R15" s="10">
        <f>_xlfn.XLOOKUP(A15,'Icyte Report'!A:A,'Icyte Report'!AB:AB)</f>
        <v>0</v>
      </c>
      <c r="S15" s="10" t="str">
        <f>_xlfn.XLOOKUP(A15,'United MAMP All Components'!A:A,'United MAMP All Components'!I:I)</f>
        <v>0.00</v>
      </c>
      <c r="T15" s="10">
        <f t="shared" si="5"/>
        <v>0</v>
      </c>
      <c r="U15" s="10">
        <f>_xlfn.XLOOKUP(A15,'Icyte Report'!A:A,'Icyte Report'!AC:AC)</f>
        <v>0</v>
      </c>
      <c r="V15" s="10" t="str">
        <f>_xlfn.XLOOKUP(A15,'United MAMP All Components'!A:A,'United MAMP All Components'!K:K)</f>
        <v>0.00</v>
      </c>
      <c r="W15" s="10">
        <f t="shared" si="6"/>
        <v>0</v>
      </c>
      <c r="X15" s="10">
        <f>_xlfn.XLOOKUP(A15,'Icyte Report'!A:A,'Icyte Report'!AD:AD)</f>
        <v>0</v>
      </c>
      <c r="Y15" s="10" t="str">
        <f>_xlfn.XLOOKUP(A15,'United MAMP All Components'!A:A,'United MAMP All Components'!L:L)</f>
        <v>0.00</v>
      </c>
      <c r="Z15" s="10">
        <f t="shared" si="7"/>
        <v>0</v>
      </c>
      <c r="AA15" s="10">
        <f>_xlfn.XLOOKUP(A15,'Icyte Report'!A:A,'Icyte Report'!AE:AE)</f>
        <v>0</v>
      </c>
      <c r="AB15" s="10" t="str">
        <f>_xlfn.XLOOKUP(A15,'United MAMP All Components'!A:A,'United MAMP All Components'!N:N)</f>
        <v>0.00</v>
      </c>
      <c r="AC15" s="10">
        <f t="shared" si="8"/>
        <v>0</v>
      </c>
      <c r="AD15" s="10">
        <f>_xlfn.XLOOKUP(A15,'Icyte Report'!A:A,'Icyte Report'!AF:AF)</f>
        <v>0</v>
      </c>
      <c r="AE15" s="10" t="str">
        <f>_xlfn.XLOOKUP(A15,'United MAMP All Components'!A:A,'United MAMP All Components'!O:O)</f>
        <v>0.00</v>
      </c>
      <c r="AF15" s="10">
        <f t="shared" si="9"/>
        <v>0</v>
      </c>
      <c r="AG15" s="10">
        <f>_xlfn.XLOOKUP(A15,'Icyte Report'!A:A,'Icyte Report'!AG:AG)</f>
        <v>0</v>
      </c>
      <c r="AH15" s="10" t="str">
        <f>_xlfn.XLOOKUP(A15,'United MAMP All Components'!A:A,'United MAMP All Components'!Q:Q)</f>
        <v>0.00</v>
      </c>
      <c r="AI15" s="10">
        <f t="shared" si="10"/>
        <v>0</v>
      </c>
      <c r="AJ15" s="10">
        <f>_xlfn.XLOOKUP(A15,'Icyte Report'!A:A,'Icyte Report'!AH:AH)</f>
        <v>0</v>
      </c>
      <c r="AK15" s="10" t="str">
        <f>_xlfn.XLOOKUP(A15,'United MAMP All Components'!A:A,'United MAMP All Components'!R:R)</f>
        <v>0.00</v>
      </c>
      <c r="AL15" s="10">
        <f t="shared" si="11"/>
        <v>0</v>
      </c>
      <c r="AM15" s="10">
        <f>_xlfn.XLOOKUP(A15,'Icyte Report'!A:A,'Icyte Report'!AS:AS)</f>
        <v>0</v>
      </c>
      <c r="AN15" s="10" t="str">
        <f>_xlfn.XLOOKUP(A15,'United MAMP All Components'!A:A,'United MAMP All Components'!T:T)</f>
        <v>0.00</v>
      </c>
      <c r="AO15" s="10">
        <f t="shared" si="12"/>
        <v>0</v>
      </c>
      <c r="AP15" s="10">
        <f>_xlfn.XLOOKUP(A15,'Icyte Report'!A:A,'Icyte Report'!AT:AT)</f>
        <v>0</v>
      </c>
      <c r="AQ15" s="10" t="str">
        <f>_xlfn.XLOOKUP(A15,'United MAMP All Components'!A:A,'United MAMP All Components'!U:U)</f>
        <v>0.00</v>
      </c>
      <c r="AR15" s="10">
        <f t="shared" si="13"/>
        <v>0</v>
      </c>
      <c r="AS15" s="10">
        <f>_xlfn.XLOOKUP(A15,'Icyte Report'!A:A,'Icyte Report'!AU:AU)</f>
        <v>0</v>
      </c>
      <c r="AT15" s="10" t="str">
        <f>_xlfn.XLOOKUP(A15,'United MAMP All Components'!A:A,'United MAMP All Components'!AO:AO)</f>
        <v>0.00</v>
      </c>
      <c r="AU15" s="10">
        <f t="shared" si="14"/>
        <v>0</v>
      </c>
      <c r="AV15" s="10">
        <f>_xlfn.XLOOKUP(A15,'Icyte Report'!A:A,'Icyte Report'!AV:AV)</f>
        <v>0</v>
      </c>
      <c r="AW15" s="10" t="str">
        <f>_xlfn.XLOOKUP(A15,'United MAMP All Components'!A:A,'United MAMP All Components'!AP:AP)</f>
        <v>0.00</v>
      </c>
      <c r="AX15" s="10">
        <f t="shared" si="15"/>
        <v>0</v>
      </c>
      <c r="AY15" s="10">
        <f>_xlfn.XLOOKUP(A15,'Icyte Report'!A:A,'Icyte Report'!BH:BH)</f>
        <v>2700</v>
      </c>
      <c r="AZ15" s="10" t="e">
        <f>_xlfn.XLOOKUP(A15,'United Smoothed Indirect Inelig'!A:A,'United Smoothed Indirect Inelig'!D:D)</f>
        <v>#N/A</v>
      </c>
      <c r="BA15" s="10" t="e">
        <f t="shared" si="16"/>
        <v>#N/A</v>
      </c>
      <c r="BB15" s="10">
        <f>_xlfn.XLOOKUP(A15,'Icyte Report'!A:A,'Icyte Report'!BK:BK)</f>
        <v>208500</v>
      </c>
      <c r="BC15" s="10" t="e">
        <f t="shared" si="17"/>
        <v>#N/A</v>
      </c>
      <c r="BD15" s="10">
        <f>_xlfn.XLOOKUP(A15,'Icyte Report'!A:A,'Icyte Report'!BN:BN)</f>
        <v>0</v>
      </c>
      <c r="BE15" s="10" t="e">
        <f>_xlfn.XLOOKUP(A15,'United Smoothed Indirect Inelig'!A:A,'United Smoothed Indirect Inelig'!C:C)</f>
        <v>#N/A</v>
      </c>
      <c r="BF15" s="10" t="e">
        <f t="shared" si="18"/>
        <v>#N/A</v>
      </c>
      <c r="BG15" s="10">
        <f>_xlfn.XLOOKUP(A15,'Icyte Report'!A:A,'Icyte Report'!BR:BR)</f>
        <v>0</v>
      </c>
      <c r="BH15" s="10" t="e">
        <f>_xlfn.XLOOKUP(A15,'United Smoothed Indirect Inelig'!A:A,'United Smoothed Indirect Inelig'!B:B)</f>
        <v>#N/A</v>
      </c>
      <c r="BI15" s="10" t="e">
        <f t="shared" si="19"/>
        <v>#N/A</v>
      </c>
      <c r="BJ15" s="10">
        <f>_xlfn.XLOOKUP(A15,'Icyte Report'!A:A,'Icyte Report'!BV:BV)</f>
        <v>0</v>
      </c>
      <c r="BK15" s="10" t="e">
        <f>_xlfn.XLOOKUP(A15,'United Smoothed Indirect Inelig'!A:A,'United Smoothed Indirect Inelig'!P:P)</f>
        <v>#N/A</v>
      </c>
      <c r="BL15" s="10" t="e">
        <f t="shared" si="20"/>
        <v>#N/A</v>
      </c>
      <c r="BM15" s="13">
        <f>_xlfn.XLOOKUP(A15,'Icyte Report'!A:A,'Icyte Report'!BW:BW)</f>
        <v>0</v>
      </c>
      <c r="BN15" s="13" t="e">
        <f>_xlfn.XLOOKUP(A15,'United Smoothed Indirect Inelig'!A:A,'United Smoothed Indirect Inelig'!G:G)+_xlfn.XLOOKUP(A15,'United Smoothed Indirect Inelig'!A:A,'United Smoothed Indirect Inelig'!H:H) + _xlfn.XLOOKUP(A15,'United Smoothed Indirect Inelig'!A:A,'United Smoothed Indirect Inelig'!I:I)+_xlfn.XLOOKUP(A15,'United Smoothed Indirect Inelig'!A:A,'United Smoothed Indirect Inelig'!J:J)</f>
        <v>#N/A</v>
      </c>
      <c r="BO15" s="18" t="e">
        <f t="shared" si="21"/>
        <v>#N/A</v>
      </c>
      <c r="BP15" s="10">
        <f>_xlfn.XLOOKUP(A15,'Icyte Report'!A:A,'Icyte Report'!BY:BY)</f>
        <v>0</v>
      </c>
      <c r="BQ15" s="10" t="e">
        <f>_xlfn.XLOOKUP(A15,'United Smoothed Indirect Inelig'!A:A,'United Smoothed Indirect Inelig'!L:L)+_xlfn.XLOOKUP(A15,'United Smoothed Indirect Inelig'!A:A,'United Smoothed Indirect Inelig'!M:M) + _xlfn.XLOOKUP(A15,'United Smoothed Indirect Inelig'!A:A,'United Smoothed Indirect Inelig'!N:N)+_xlfn.XLOOKUP(A15,'United Smoothed Indirect Inelig'!A:A,'United Smoothed Indirect Inelig'!O:O)</f>
        <v>#N/A</v>
      </c>
      <c r="BR15" s="10" t="e">
        <f t="shared" si="22"/>
        <v>#N/A</v>
      </c>
      <c r="BS15" s="10">
        <f>_xlfn.XLOOKUP(A15,'Icyte Report'!A:A,'Icyte Report'!BZ:BZ)</f>
        <v>0</v>
      </c>
      <c r="BT15" s="10" t="str">
        <f>_xlfn.XLOOKUP(A15,'United MAMP All Components'!A:A,'United MAMP All Components'!AL:AL)</f>
        <v>0.00</v>
      </c>
      <c r="BU15" s="10">
        <f t="shared" si="23"/>
        <v>0</v>
      </c>
      <c r="BV15" s="26">
        <f>_xlfn.XLOOKUP(A15,'Icyte Report'!A:A,'Icyte Report'!CA:CA)</f>
        <v>0</v>
      </c>
      <c r="BW15" s="22" t="str">
        <f>_xlfn.XLOOKUP(A15,'United MAMP All Components'!A:A,'United MAMP All Components'!AM:AM)</f>
        <v>0.00</v>
      </c>
      <c r="BX15" s="10">
        <f t="shared" si="24"/>
        <v>0</v>
      </c>
      <c r="BY15" s="10">
        <f>_xlfn.XLOOKUP(A15,'Icyte Report'!A:A,'Icyte Report'!CD:CD)</f>
        <v>0</v>
      </c>
      <c r="BZ15" s="10" t="str">
        <f>_xlfn.XLOOKUP(A15,'United_Smoothed Price Concessio'!A:A,'United_Smoothed Price Concessio'!D:D)</f>
        <v>$0.00</v>
      </c>
      <c r="CA15" s="10">
        <f t="shared" si="25"/>
        <v>0</v>
      </c>
      <c r="CB15" s="10">
        <f>_xlfn.XLOOKUP(A15,'Icyte Report'!A:A,'Icyte Report'!CF:CF)</f>
        <v>0</v>
      </c>
      <c r="CC15" s="10" t="e">
        <f>_xlfn.XLOOKUP(A15,'United Smoothed Indirect Inelig'!A:A,'United Smoothed Indirect Inelig'!F:F)</f>
        <v>#N/A</v>
      </c>
      <c r="CD15" s="10" t="e">
        <f t="shared" si="26"/>
        <v>#N/A</v>
      </c>
      <c r="CE15" s="10">
        <f>_xlfn.XLOOKUP(A15,'Icyte Report'!A:A,'Icyte Report'!CL:CL)</f>
        <v>-1437967.3180327869</v>
      </c>
      <c r="CF15" s="10" t="str">
        <f>_xlfn.XLOOKUP(A15,'United_Smoothed Price Concessio'!A:A,'United_Smoothed Price Concessio'!H:H)</f>
        <v>$0.00</v>
      </c>
      <c r="CG15" s="10">
        <f t="shared" si="27"/>
        <v>-1437967.3180327869</v>
      </c>
      <c r="CH15" s="10">
        <f>_xlfn.XLOOKUP(A15,'Icyte Report'!A:A,'Icyte Report'!CY:CY)</f>
        <v>0</v>
      </c>
      <c r="CI15" s="10" t="str">
        <f>_xlfn.XLOOKUP(A15,'United_Smoothed Price Concessio'!A:A,'United_Smoothed Price Concessio'!C:C)</f>
        <v>$0.00</v>
      </c>
      <c r="CJ15" s="10">
        <f t="shared" si="28"/>
        <v>0</v>
      </c>
      <c r="CK15" s="10">
        <f>_xlfn.XLOOKUP(A15,'Icyte Report'!A:A,'Icyte Report'!CZ:CZ)</f>
        <v>0</v>
      </c>
      <c r="CL15" s="10" t="str">
        <f>_xlfn.XLOOKUP(A15,'United_Smoothed Price Concessio'!A:A,'United_Smoothed Price Concessio'!G:G)</f>
        <v>$0.00</v>
      </c>
      <c r="CM15" s="10">
        <f t="shared" si="29"/>
        <v>0</v>
      </c>
      <c r="CN15" s="13">
        <f>_xlfn.XLOOKUP(A15,'Icyte Report'!A:A,'Icyte Report'!DA:DA)</f>
        <v>0</v>
      </c>
      <c r="CO15" s="13" t="str">
        <f>_xlfn.XLOOKUP(A15,'United_Smoothed Price Concessio'!A:A,'United_Smoothed Price Concessio'!I:I)</f>
        <v>0.000000%</v>
      </c>
      <c r="CP15" s="10">
        <f t="shared" si="30"/>
        <v>0</v>
      </c>
      <c r="CQ15" s="10">
        <f>_xlfn.XLOOKUP(A15,'Icyte Report'!A:A,'Icyte Report'!DB:DB)</f>
        <v>0</v>
      </c>
      <c r="CR15" s="10" t="str">
        <f>_xlfn.XLOOKUP(A15,'United MAMP All Components'!A:A,'United MAMP All Components'!AX:AX)</f>
        <v>0.00</v>
      </c>
      <c r="CS15" s="10">
        <f t="shared" si="31"/>
        <v>0</v>
      </c>
      <c r="CT15" s="10">
        <f>_xlfn.XLOOKUP(A15,'Icyte Report'!A:A,'Icyte Report'!DC:DC)</f>
        <v>0</v>
      </c>
      <c r="CU15" s="10" t="str">
        <f>_xlfn.XLOOKUP(A15,'United MAMP All Components'!A:A,'United MAMP All Components'!BA:BA)</f>
        <v>0.00</v>
      </c>
      <c r="CV15" s="10">
        <f t="shared" si="32"/>
        <v>0</v>
      </c>
      <c r="CW15" s="10">
        <f>_xlfn.XLOOKUP(A15,'Icyte Report'!A:A,'Icyte Report'!DD:DD)</f>
        <v>0</v>
      </c>
      <c r="CX15" s="10" t="str">
        <f>_xlfn.XLOOKUP(A15,'United MAMP All Components'!A:A,'United MAMP All Components'!BD:BD)</f>
        <v>0.00</v>
      </c>
      <c r="CY15" s="10">
        <f t="shared" si="33"/>
        <v>0</v>
      </c>
      <c r="CZ15" s="10">
        <f>_xlfn.XLOOKUP(A15,'Icyte Report'!A:A,'Icyte Report'!DE:DE)</f>
        <v>0</v>
      </c>
      <c r="DA15" s="10" t="str">
        <f>_xlfn.XLOOKUP(A15,'United MAMP All Components'!A:A,'United MAMP All Components'!BE:BE)</f>
        <v>0.00</v>
      </c>
      <c r="DB15" s="10">
        <f t="shared" si="34"/>
        <v>0</v>
      </c>
      <c r="DC15" s="10">
        <f>_xlfn.XLOOKUP(A15,'Icyte Report'!A:A,'Icyte Report'!DI:DI)</f>
        <v>6.9440999999999997</v>
      </c>
      <c r="DD15" s="10" t="str">
        <f>_xlfn.XLOOKUP(A15,'United MAMP All Components'!A:A,'United MAMP All Components'!BG:BG)</f>
        <v>6.944100</v>
      </c>
      <c r="DE15" s="10">
        <f t="shared" si="35"/>
        <v>0</v>
      </c>
    </row>
    <row r="16" spans="1:109" x14ac:dyDescent="0.35">
      <c r="A16" s="10" t="s">
        <v>159</v>
      </c>
      <c r="B16" s="10" t="s">
        <v>431</v>
      </c>
      <c r="C16" s="10">
        <f>_xlfn.XLOOKUP(A16,'Icyte Report'!A:A,'Icyte Report'!W:W)</f>
        <v>1316535</v>
      </c>
      <c r="D16" s="10" t="str">
        <f>_xlfn.XLOOKUP(A16,'United MAMP All Components'!A:A,'United MAMP All Components'!B:B)</f>
        <v>1,733,160.00</v>
      </c>
      <c r="E16" s="10">
        <f t="shared" si="0"/>
        <v>-416625</v>
      </c>
      <c r="F16" s="10">
        <f>_xlfn.XLOOKUP(A16,'Icyte Report'!A:A,'Icyte Report'!X:X)</f>
        <v>109200</v>
      </c>
      <c r="G16" s="10" t="str">
        <f>_xlfn.XLOOKUP(A16,'United MAMP All Components'!A:A,'United MAMP All Components'!C:C)</f>
        <v>142,200.00</v>
      </c>
      <c r="H16" s="10">
        <f t="shared" si="1"/>
        <v>-33000</v>
      </c>
      <c r="I16" s="10">
        <f>_xlfn.XLOOKUP(A16,'Icyte Report'!A:A,'Icyte Report'!Y:Y)</f>
        <v>0</v>
      </c>
      <c r="J16" s="10" t="str">
        <f>_xlfn.XLOOKUP(A16,'United MAMP All Components'!A:A,'United MAMP All Components'!E:E)</f>
        <v>0.00</v>
      </c>
      <c r="K16" s="10">
        <f t="shared" si="2"/>
        <v>0</v>
      </c>
      <c r="L16" s="10">
        <f>_xlfn.XLOOKUP(A16,'Icyte Report'!A:A,'Icyte Report'!Z:Z)</f>
        <v>0</v>
      </c>
      <c r="M16" s="10" t="str">
        <f>_xlfn.XLOOKUP(A16,'United MAMP All Components'!A:A,'United MAMP All Components'!F:F)</f>
        <v>0.00</v>
      </c>
      <c r="N16" s="10">
        <f t="shared" si="3"/>
        <v>0</v>
      </c>
      <c r="O16" s="10">
        <f>_xlfn.XLOOKUP(A16,'Icyte Report'!A:A,'Icyte Report'!AA:AA)</f>
        <v>1316535</v>
      </c>
      <c r="P16" s="10" t="str">
        <f>_xlfn.XLOOKUP(A16,'United MAMP All Components'!A:A,'United MAMP All Components'!H:H)</f>
        <v>1,733,160.00</v>
      </c>
      <c r="Q16" s="10">
        <f t="shared" si="4"/>
        <v>-416625</v>
      </c>
      <c r="R16" s="10">
        <f>_xlfn.XLOOKUP(A16,'Icyte Report'!A:A,'Icyte Report'!AB:AB)</f>
        <v>94800</v>
      </c>
      <c r="S16" s="10" t="str">
        <f>_xlfn.XLOOKUP(A16,'United MAMP All Components'!A:A,'United MAMP All Components'!I:I)</f>
        <v>124,800.00</v>
      </c>
      <c r="T16" s="10">
        <f t="shared" si="5"/>
        <v>-30000</v>
      </c>
      <c r="U16" s="10">
        <f>_xlfn.XLOOKUP(A16,'Icyte Report'!A:A,'Icyte Report'!AC:AC)</f>
        <v>0</v>
      </c>
      <c r="V16" s="10" t="str">
        <f>_xlfn.XLOOKUP(A16,'United MAMP All Components'!A:A,'United MAMP All Components'!K:K)</f>
        <v>0.00</v>
      </c>
      <c r="W16" s="10">
        <f t="shared" si="6"/>
        <v>0</v>
      </c>
      <c r="X16" s="10">
        <f>_xlfn.XLOOKUP(A16,'Icyte Report'!A:A,'Icyte Report'!AD:AD)</f>
        <v>0</v>
      </c>
      <c r="Y16" s="10" t="str">
        <f>_xlfn.XLOOKUP(A16,'United MAMP All Components'!A:A,'United MAMP All Components'!L:L)</f>
        <v>0.00</v>
      </c>
      <c r="Z16" s="10">
        <f t="shared" si="7"/>
        <v>0</v>
      </c>
      <c r="AA16" s="10">
        <f>_xlfn.XLOOKUP(A16,'Icyte Report'!A:A,'Icyte Report'!AE:AE)</f>
        <v>0</v>
      </c>
      <c r="AB16" s="10" t="str">
        <f>_xlfn.XLOOKUP(A16,'United MAMP All Components'!A:A,'United MAMP All Components'!N:N)</f>
        <v>0.00</v>
      </c>
      <c r="AC16" s="10">
        <f t="shared" si="8"/>
        <v>0</v>
      </c>
      <c r="AD16" s="10">
        <f>_xlfn.XLOOKUP(A16,'Icyte Report'!A:A,'Icyte Report'!AF:AF)</f>
        <v>14400</v>
      </c>
      <c r="AE16" s="10" t="str">
        <f>_xlfn.XLOOKUP(A16,'United MAMP All Components'!A:A,'United MAMP All Components'!O:O)</f>
        <v>17,400.00</v>
      </c>
      <c r="AF16" s="10">
        <f t="shared" si="9"/>
        <v>-3000</v>
      </c>
      <c r="AG16" s="10">
        <f>_xlfn.XLOOKUP(A16,'Icyte Report'!A:A,'Icyte Report'!AG:AG)</f>
        <v>0</v>
      </c>
      <c r="AH16" s="10" t="str">
        <f>_xlfn.XLOOKUP(A16,'United MAMP All Components'!A:A,'United MAMP All Components'!Q:Q)</f>
        <v>0.00</v>
      </c>
      <c r="AI16" s="10">
        <f t="shared" si="10"/>
        <v>0</v>
      </c>
      <c r="AJ16" s="10">
        <f>_xlfn.XLOOKUP(A16,'Icyte Report'!A:A,'Icyte Report'!AH:AH)</f>
        <v>0</v>
      </c>
      <c r="AK16" s="10" t="str">
        <f>_xlfn.XLOOKUP(A16,'United MAMP All Components'!A:A,'United MAMP All Components'!R:R)</f>
        <v>0.00</v>
      </c>
      <c r="AL16" s="10">
        <f t="shared" si="11"/>
        <v>0</v>
      </c>
      <c r="AM16" s="10">
        <f>_xlfn.XLOOKUP(A16,'Icyte Report'!A:A,'Icyte Report'!AS:AS)</f>
        <v>0</v>
      </c>
      <c r="AN16" s="10" t="str">
        <f>_xlfn.XLOOKUP(A16,'United MAMP All Components'!A:A,'United MAMP All Components'!T:T)</f>
        <v>0.00</v>
      </c>
      <c r="AO16" s="10">
        <f t="shared" si="12"/>
        <v>0</v>
      </c>
      <c r="AP16" s="10">
        <f>_xlfn.XLOOKUP(A16,'Icyte Report'!A:A,'Icyte Report'!AT:AT)</f>
        <v>0</v>
      </c>
      <c r="AQ16" s="10" t="str">
        <f>_xlfn.XLOOKUP(A16,'United MAMP All Components'!A:A,'United MAMP All Components'!U:U)</f>
        <v>0.00</v>
      </c>
      <c r="AR16" s="10">
        <f t="shared" si="13"/>
        <v>0</v>
      </c>
      <c r="AS16" s="10">
        <f>_xlfn.XLOOKUP(A16,'Icyte Report'!A:A,'Icyte Report'!AU:AU)</f>
        <v>0</v>
      </c>
      <c r="AT16" s="10" t="str">
        <f>_xlfn.XLOOKUP(A16,'United MAMP All Components'!A:A,'United MAMP All Components'!AO:AO)</f>
        <v>0.00</v>
      </c>
      <c r="AU16" s="10">
        <f t="shared" si="14"/>
        <v>0</v>
      </c>
      <c r="AV16" s="10">
        <f>_xlfn.XLOOKUP(A16,'Icyte Report'!A:A,'Icyte Report'!AV:AV)</f>
        <v>0</v>
      </c>
      <c r="AW16" s="10" t="str">
        <f>_xlfn.XLOOKUP(A16,'United MAMP All Components'!A:A,'United MAMP All Components'!AP:AP)</f>
        <v>0.00</v>
      </c>
      <c r="AX16" s="10">
        <f t="shared" si="15"/>
        <v>0</v>
      </c>
      <c r="AY16" s="10">
        <f>_xlfn.XLOOKUP(A16,'Icyte Report'!A:A,'Icyte Report'!BH:BH)</f>
        <v>23700</v>
      </c>
      <c r="AZ16" s="10" t="e">
        <f>_xlfn.XLOOKUP(A16,'United Smoothed Indirect Inelig'!A:A,'United Smoothed Indirect Inelig'!D:D)</f>
        <v>#N/A</v>
      </c>
      <c r="BA16" s="10" t="e">
        <f t="shared" si="16"/>
        <v>#N/A</v>
      </c>
      <c r="BB16" s="10">
        <f>_xlfn.XLOOKUP(A16,'Icyte Report'!A:A,'Icyte Report'!BK:BK)</f>
        <v>996400</v>
      </c>
      <c r="BC16" s="10" t="e">
        <f t="shared" si="17"/>
        <v>#N/A</v>
      </c>
      <c r="BD16" s="10">
        <f>_xlfn.XLOOKUP(A16,'Icyte Report'!A:A,'Icyte Report'!BN:BN)</f>
        <v>0</v>
      </c>
      <c r="BE16" s="10" t="e">
        <f>_xlfn.XLOOKUP(A16,'United Smoothed Indirect Inelig'!A:A,'United Smoothed Indirect Inelig'!C:C)</f>
        <v>#N/A</v>
      </c>
      <c r="BF16" s="10" t="e">
        <f t="shared" si="18"/>
        <v>#N/A</v>
      </c>
      <c r="BG16" s="10">
        <f>_xlfn.XLOOKUP(A16,'Icyte Report'!A:A,'Icyte Report'!BR:BR)</f>
        <v>0</v>
      </c>
      <c r="BH16" s="10" t="e">
        <f>_xlfn.XLOOKUP(A16,'United Smoothed Indirect Inelig'!A:A,'United Smoothed Indirect Inelig'!B:B)</f>
        <v>#N/A</v>
      </c>
      <c r="BI16" s="10" t="e">
        <f t="shared" si="19"/>
        <v>#N/A</v>
      </c>
      <c r="BJ16" s="10">
        <f>_xlfn.XLOOKUP(A16,'Icyte Report'!A:A,'Icyte Report'!BV:BV)</f>
        <v>0</v>
      </c>
      <c r="BK16" s="10" t="e">
        <f>_xlfn.XLOOKUP(A16,'United Smoothed Indirect Inelig'!A:A,'United Smoothed Indirect Inelig'!P:P)</f>
        <v>#N/A</v>
      </c>
      <c r="BL16" s="10" t="e">
        <f t="shared" si="20"/>
        <v>#N/A</v>
      </c>
      <c r="BM16" s="13">
        <f>_xlfn.XLOOKUP(A16,'Icyte Report'!A:A,'Icyte Report'!BW:BW)</f>
        <v>0</v>
      </c>
      <c r="BN16" s="13" t="e">
        <f>_xlfn.XLOOKUP(A16,'United Smoothed Indirect Inelig'!A:A,'United Smoothed Indirect Inelig'!G:G)+_xlfn.XLOOKUP(A16,'United Smoothed Indirect Inelig'!A:A,'United Smoothed Indirect Inelig'!H:H) + _xlfn.XLOOKUP(A16,'United Smoothed Indirect Inelig'!A:A,'United Smoothed Indirect Inelig'!I:I)+_xlfn.XLOOKUP(A16,'United Smoothed Indirect Inelig'!A:A,'United Smoothed Indirect Inelig'!J:J)</f>
        <v>#N/A</v>
      </c>
      <c r="BO16" s="18" t="e">
        <f t="shared" si="21"/>
        <v>#N/A</v>
      </c>
      <c r="BP16" s="10">
        <f>_xlfn.XLOOKUP(A16,'Icyte Report'!A:A,'Icyte Report'!BY:BY)</f>
        <v>0</v>
      </c>
      <c r="BQ16" s="10" t="e">
        <f>_xlfn.XLOOKUP(A16,'United Smoothed Indirect Inelig'!A:A,'United Smoothed Indirect Inelig'!L:L)+_xlfn.XLOOKUP(A16,'United Smoothed Indirect Inelig'!A:A,'United Smoothed Indirect Inelig'!M:M) + _xlfn.XLOOKUP(A16,'United Smoothed Indirect Inelig'!A:A,'United Smoothed Indirect Inelig'!N:N)+_xlfn.XLOOKUP(A16,'United Smoothed Indirect Inelig'!A:A,'United Smoothed Indirect Inelig'!O:O)</f>
        <v>#N/A</v>
      </c>
      <c r="BR16" s="10" t="e">
        <f t="shared" si="22"/>
        <v>#N/A</v>
      </c>
      <c r="BS16" s="10">
        <f>_xlfn.XLOOKUP(A16,'Icyte Report'!A:A,'Icyte Report'!BZ:BZ)</f>
        <v>0</v>
      </c>
      <c r="BT16" s="10" t="str">
        <f>_xlfn.XLOOKUP(A16,'United MAMP All Components'!A:A,'United MAMP All Components'!AL:AL)</f>
        <v>0.00</v>
      </c>
      <c r="BU16" s="10">
        <f t="shared" si="23"/>
        <v>0</v>
      </c>
      <c r="BV16" s="26">
        <f>_xlfn.XLOOKUP(A16,'Icyte Report'!A:A,'Icyte Report'!CA:CA)</f>
        <v>0</v>
      </c>
      <c r="BW16" s="22" t="str">
        <f>_xlfn.XLOOKUP(A16,'United MAMP All Components'!A:A,'United MAMP All Components'!AM:AM)</f>
        <v>0.00</v>
      </c>
      <c r="BX16" s="10">
        <f t="shared" si="24"/>
        <v>0</v>
      </c>
      <c r="BY16" s="10">
        <f>_xlfn.XLOOKUP(A16,'Icyte Report'!A:A,'Icyte Report'!CD:CD)</f>
        <v>0</v>
      </c>
      <c r="BZ16" s="10" t="str">
        <f>_xlfn.XLOOKUP(A16,'United_Smoothed Price Concessio'!A:A,'United_Smoothed Price Concessio'!D:D)</f>
        <v>$0.00</v>
      </c>
      <c r="CA16" s="10">
        <f t="shared" si="25"/>
        <v>0</v>
      </c>
      <c r="CB16" s="10">
        <f>_xlfn.XLOOKUP(A16,'Icyte Report'!A:A,'Icyte Report'!CF:CF)</f>
        <v>0</v>
      </c>
      <c r="CC16" s="10" t="e">
        <f>_xlfn.XLOOKUP(A16,'United Smoothed Indirect Inelig'!A:A,'United Smoothed Indirect Inelig'!F:F)</f>
        <v>#N/A</v>
      </c>
      <c r="CD16" s="10" t="e">
        <f t="shared" si="26"/>
        <v>#N/A</v>
      </c>
      <c r="CE16" s="10">
        <f>_xlfn.XLOOKUP(A16,'Icyte Report'!A:A,'Icyte Report'!CL:CL)</f>
        <v>-13890010.205983611</v>
      </c>
      <c r="CF16" s="10" t="str">
        <f>_xlfn.XLOOKUP(A16,'United_Smoothed Price Concessio'!A:A,'United_Smoothed Price Concessio'!H:H)</f>
        <v>$0.00</v>
      </c>
      <c r="CG16" s="10">
        <f t="shared" si="27"/>
        <v>-13890010.205983611</v>
      </c>
      <c r="CH16" s="10">
        <f>_xlfn.XLOOKUP(A16,'Icyte Report'!A:A,'Icyte Report'!CY:CY)</f>
        <v>0</v>
      </c>
      <c r="CI16" s="10" t="str">
        <f>_xlfn.XLOOKUP(A16,'United_Smoothed Price Concessio'!A:A,'United_Smoothed Price Concessio'!C:C)</f>
        <v>$0.00</v>
      </c>
      <c r="CJ16" s="10">
        <f t="shared" si="28"/>
        <v>0</v>
      </c>
      <c r="CK16" s="10">
        <f>_xlfn.XLOOKUP(A16,'Icyte Report'!A:A,'Icyte Report'!CZ:CZ)</f>
        <v>0</v>
      </c>
      <c r="CL16" s="10" t="str">
        <f>_xlfn.XLOOKUP(A16,'United_Smoothed Price Concessio'!A:A,'United_Smoothed Price Concessio'!G:G)</f>
        <v>$0.00</v>
      </c>
      <c r="CM16" s="10">
        <f t="shared" si="29"/>
        <v>0</v>
      </c>
      <c r="CN16" s="13">
        <f>_xlfn.XLOOKUP(A16,'Icyte Report'!A:A,'Icyte Report'!DA:DA)</f>
        <v>0</v>
      </c>
      <c r="CO16" s="13" t="str">
        <f>_xlfn.XLOOKUP(A16,'United_Smoothed Price Concessio'!A:A,'United_Smoothed Price Concessio'!I:I)</f>
        <v>0.000000%</v>
      </c>
      <c r="CP16" s="10">
        <f t="shared" si="30"/>
        <v>0</v>
      </c>
      <c r="CQ16" s="10">
        <f>_xlfn.XLOOKUP(A16,'Icyte Report'!A:A,'Icyte Report'!DB:DB)</f>
        <v>0</v>
      </c>
      <c r="CR16" s="10" t="str">
        <f>_xlfn.XLOOKUP(A16,'United MAMP All Components'!A:A,'United MAMP All Components'!AX:AX)</f>
        <v>0.00</v>
      </c>
      <c r="CS16" s="10">
        <f t="shared" si="31"/>
        <v>0</v>
      </c>
      <c r="CT16" s="10">
        <f>_xlfn.XLOOKUP(A16,'Icyte Report'!A:A,'Icyte Report'!DC:DC)</f>
        <v>0</v>
      </c>
      <c r="CU16" s="10" t="str">
        <f>_xlfn.XLOOKUP(A16,'United MAMP All Components'!A:A,'United MAMP All Components'!BA:BA)</f>
        <v>0.00</v>
      </c>
      <c r="CV16" s="10">
        <f t="shared" si="32"/>
        <v>0</v>
      </c>
      <c r="CW16" s="10">
        <f>_xlfn.XLOOKUP(A16,'Icyte Report'!A:A,'Icyte Report'!DD:DD)</f>
        <v>0</v>
      </c>
      <c r="CX16" s="10" t="str">
        <f>_xlfn.XLOOKUP(A16,'United MAMP All Components'!A:A,'United MAMP All Components'!BD:BD)</f>
        <v>0.00</v>
      </c>
      <c r="CY16" s="10">
        <f t="shared" si="33"/>
        <v>0</v>
      </c>
      <c r="CZ16" s="10">
        <f>_xlfn.XLOOKUP(A16,'Icyte Report'!A:A,'Icyte Report'!DE:DE)</f>
        <v>0</v>
      </c>
      <c r="DA16" s="10" t="str">
        <f>_xlfn.XLOOKUP(A16,'United MAMP All Components'!A:A,'United MAMP All Components'!BE:BE)</f>
        <v>0.00</v>
      </c>
      <c r="DB16" s="10">
        <f t="shared" si="34"/>
        <v>0</v>
      </c>
      <c r="DC16" s="10">
        <f>_xlfn.XLOOKUP(A16,'Icyte Report'!A:A,'Icyte Report'!DI:DI)</f>
        <v>13.887499999999999</v>
      </c>
      <c r="DD16" s="10" t="str">
        <f>_xlfn.XLOOKUP(A16,'United MAMP All Components'!A:A,'United MAMP All Components'!BG:BG)</f>
        <v>13.887500</v>
      </c>
      <c r="DE16" s="10">
        <f t="shared" si="35"/>
        <v>0</v>
      </c>
    </row>
    <row r="17" spans="1:109" x14ac:dyDescent="0.35">
      <c r="A17" s="10" t="s">
        <v>162</v>
      </c>
      <c r="B17" s="10" t="s">
        <v>431</v>
      </c>
      <c r="C17" s="10">
        <f>_xlfn.XLOOKUP(A17,'Icyte Report'!A:A,'Icyte Report'!W:W)</f>
        <v>0</v>
      </c>
      <c r="D17" s="10" t="str">
        <f>_xlfn.XLOOKUP(A17,'United MAMP All Components'!A:A,'United MAMP All Components'!B:B)</f>
        <v>0.00</v>
      </c>
      <c r="E17" s="10">
        <f t="shared" si="0"/>
        <v>0</v>
      </c>
      <c r="F17" s="10">
        <f>_xlfn.XLOOKUP(A17,'Icyte Report'!A:A,'Icyte Report'!X:X)</f>
        <v>0</v>
      </c>
      <c r="G17" s="10" t="str">
        <f>_xlfn.XLOOKUP(A17,'United MAMP All Components'!A:A,'United MAMP All Components'!C:C)</f>
        <v>0.00</v>
      </c>
      <c r="H17" s="10">
        <f t="shared" si="1"/>
        <v>0</v>
      </c>
      <c r="I17" s="10">
        <f>_xlfn.XLOOKUP(A17,'Icyte Report'!A:A,'Icyte Report'!Y:Y)</f>
        <v>0</v>
      </c>
      <c r="J17" s="10" t="str">
        <f>_xlfn.XLOOKUP(A17,'United MAMP All Components'!A:A,'United MAMP All Components'!E:E)</f>
        <v>0.00</v>
      </c>
      <c r="K17" s="10">
        <f t="shared" si="2"/>
        <v>0</v>
      </c>
      <c r="L17" s="10">
        <f>_xlfn.XLOOKUP(A17,'Icyte Report'!A:A,'Icyte Report'!Z:Z)</f>
        <v>0</v>
      </c>
      <c r="M17" s="10" t="str">
        <f>_xlfn.XLOOKUP(A17,'United MAMP All Components'!A:A,'United MAMP All Components'!F:F)</f>
        <v>0.00</v>
      </c>
      <c r="N17" s="10">
        <f t="shared" si="3"/>
        <v>0</v>
      </c>
      <c r="O17" s="10">
        <f>_xlfn.XLOOKUP(A17,'Icyte Report'!A:A,'Icyte Report'!AA:AA)</f>
        <v>0</v>
      </c>
      <c r="P17" s="10" t="str">
        <f>_xlfn.XLOOKUP(A17,'United MAMP All Components'!A:A,'United MAMP All Components'!H:H)</f>
        <v>0.00</v>
      </c>
      <c r="Q17" s="10">
        <f t="shared" si="4"/>
        <v>0</v>
      </c>
      <c r="R17" s="10">
        <f>_xlfn.XLOOKUP(A17,'Icyte Report'!A:A,'Icyte Report'!AB:AB)</f>
        <v>0</v>
      </c>
      <c r="S17" s="10" t="str">
        <f>_xlfn.XLOOKUP(A17,'United MAMP All Components'!A:A,'United MAMP All Components'!I:I)</f>
        <v>0.00</v>
      </c>
      <c r="T17" s="10">
        <f t="shared" si="5"/>
        <v>0</v>
      </c>
      <c r="U17" s="10">
        <f>_xlfn.XLOOKUP(A17,'Icyte Report'!A:A,'Icyte Report'!AC:AC)</f>
        <v>0</v>
      </c>
      <c r="V17" s="10" t="str">
        <f>_xlfn.XLOOKUP(A17,'United MAMP All Components'!A:A,'United MAMP All Components'!K:K)</f>
        <v>0.00</v>
      </c>
      <c r="W17" s="10">
        <f t="shared" si="6"/>
        <v>0</v>
      </c>
      <c r="X17" s="10">
        <f>_xlfn.XLOOKUP(A17,'Icyte Report'!A:A,'Icyte Report'!AD:AD)</f>
        <v>0</v>
      </c>
      <c r="Y17" s="10" t="str">
        <f>_xlfn.XLOOKUP(A17,'United MAMP All Components'!A:A,'United MAMP All Components'!L:L)</f>
        <v>0.00</v>
      </c>
      <c r="Z17" s="10">
        <f t="shared" si="7"/>
        <v>0</v>
      </c>
      <c r="AA17" s="10">
        <f>_xlfn.XLOOKUP(A17,'Icyte Report'!A:A,'Icyte Report'!AE:AE)</f>
        <v>0</v>
      </c>
      <c r="AB17" s="10" t="str">
        <f>_xlfn.XLOOKUP(A17,'United MAMP All Components'!A:A,'United MAMP All Components'!N:N)</f>
        <v>0.00</v>
      </c>
      <c r="AC17" s="10">
        <f t="shared" si="8"/>
        <v>0</v>
      </c>
      <c r="AD17" s="10">
        <f>_xlfn.XLOOKUP(A17,'Icyte Report'!A:A,'Icyte Report'!AF:AF)</f>
        <v>0</v>
      </c>
      <c r="AE17" s="10" t="str">
        <f>_xlfn.XLOOKUP(A17,'United MAMP All Components'!A:A,'United MAMP All Components'!O:O)</f>
        <v>0.00</v>
      </c>
      <c r="AF17" s="10">
        <f t="shared" si="9"/>
        <v>0</v>
      </c>
      <c r="AG17" s="10">
        <f>_xlfn.XLOOKUP(A17,'Icyte Report'!A:A,'Icyte Report'!AG:AG)</f>
        <v>0</v>
      </c>
      <c r="AH17" s="10" t="str">
        <f>_xlfn.XLOOKUP(A17,'United MAMP All Components'!A:A,'United MAMP All Components'!Q:Q)</f>
        <v>0.00</v>
      </c>
      <c r="AI17" s="10">
        <f t="shared" si="10"/>
        <v>0</v>
      </c>
      <c r="AJ17" s="10">
        <f>_xlfn.XLOOKUP(A17,'Icyte Report'!A:A,'Icyte Report'!AH:AH)</f>
        <v>0</v>
      </c>
      <c r="AK17" s="10" t="str">
        <f>_xlfn.XLOOKUP(A17,'United MAMP All Components'!A:A,'United MAMP All Components'!R:R)</f>
        <v>0.00</v>
      </c>
      <c r="AL17" s="10">
        <f t="shared" si="11"/>
        <v>0</v>
      </c>
      <c r="AM17" s="10">
        <f>_xlfn.XLOOKUP(A17,'Icyte Report'!A:A,'Icyte Report'!AS:AS)</f>
        <v>0</v>
      </c>
      <c r="AN17" s="10" t="str">
        <f>_xlfn.XLOOKUP(A17,'United MAMP All Components'!A:A,'United MAMP All Components'!T:T)</f>
        <v>0.00</v>
      </c>
      <c r="AO17" s="10">
        <f t="shared" si="12"/>
        <v>0</v>
      </c>
      <c r="AP17" s="10">
        <f>_xlfn.XLOOKUP(A17,'Icyte Report'!A:A,'Icyte Report'!AT:AT)</f>
        <v>0</v>
      </c>
      <c r="AQ17" s="10" t="str">
        <f>_xlfn.XLOOKUP(A17,'United MAMP All Components'!A:A,'United MAMP All Components'!U:U)</f>
        <v>0.00</v>
      </c>
      <c r="AR17" s="10">
        <f t="shared" si="13"/>
        <v>0</v>
      </c>
      <c r="AS17" s="10">
        <f>_xlfn.XLOOKUP(A17,'Icyte Report'!A:A,'Icyte Report'!AU:AU)</f>
        <v>0</v>
      </c>
      <c r="AT17" s="10" t="str">
        <f>_xlfn.XLOOKUP(A17,'United MAMP All Components'!A:A,'United MAMP All Components'!AO:AO)</f>
        <v>0.00</v>
      </c>
      <c r="AU17" s="10">
        <f t="shared" si="14"/>
        <v>0</v>
      </c>
      <c r="AV17" s="10">
        <f>_xlfn.XLOOKUP(A17,'Icyte Report'!A:A,'Icyte Report'!AV:AV)</f>
        <v>0</v>
      </c>
      <c r="AW17" s="10" t="str">
        <f>_xlfn.XLOOKUP(A17,'United MAMP All Components'!A:A,'United MAMP All Components'!AP:AP)</f>
        <v>0.00</v>
      </c>
      <c r="AX17" s="10">
        <f t="shared" si="15"/>
        <v>0</v>
      </c>
      <c r="AY17" s="10">
        <f>_xlfn.XLOOKUP(A17,'Icyte Report'!A:A,'Icyte Report'!BH:BH)</f>
        <v>23700</v>
      </c>
      <c r="AZ17" s="10" t="e">
        <f>_xlfn.XLOOKUP(A17,'United Smoothed Indirect Inelig'!A:A,'United Smoothed Indirect Inelig'!D:D)</f>
        <v>#N/A</v>
      </c>
      <c r="BA17" s="10" t="e">
        <f t="shared" si="16"/>
        <v>#N/A</v>
      </c>
      <c r="BB17" s="10">
        <f>_xlfn.XLOOKUP(A17,'Icyte Report'!A:A,'Icyte Report'!BK:BK)</f>
        <v>996400</v>
      </c>
      <c r="BC17" s="10" t="e">
        <f t="shared" si="17"/>
        <v>#N/A</v>
      </c>
      <c r="BD17" s="10">
        <f>_xlfn.XLOOKUP(A17,'Icyte Report'!A:A,'Icyte Report'!BN:BN)</f>
        <v>0</v>
      </c>
      <c r="BE17" s="10" t="e">
        <f>_xlfn.XLOOKUP(A17,'United Smoothed Indirect Inelig'!A:A,'United Smoothed Indirect Inelig'!C:C)</f>
        <v>#N/A</v>
      </c>
      <c r="BF17" s="10" t="e">
        <f t="shared" si="18"/>
        <v>#N/A</v>
      </c>
      <c r="BG17" s="10">
        <f>_xlfn.XLOOKUP(A17,'Icyte Report'!A:A,'Icyte Report'!BR:BR)</f>
        <v>0</v>
      </c>
      <c r="BH17" s="10" t="e">
        <f>_xlfn.XLOOKUP(A17,'United Smoothed Indirect Inelig'!A:A,'United Smoothed Indirect Inelig'!B:B)</f>
        <v>#N/A</v>
      </c>
      <c r="BI17" s="10" t="e">
        <f t="shared" si="19"/>
        <v>#N/A</v>
      </c>
      <c r="BJ17" s="10">
        <f>_xlfn.XLOOKUP(A17,'Icyte Report'!A:A,'Icyte Report'!BV:BV)</f>
        <v>0</v>
      </c>
      <c r="BK17" s="10" t="e">
        <f>_xlfn.XLOOKUP(A17,'United Smoothed Indirect Inelig'!A:A,'United Smoothed Indirect Inelig'!P:P)</f>
        <v>#N/A</v>
      </c>
      <c r="BL17" s="10" t="e">
        <f t="shared" si="20"/>
        <v>#N/A</v>
      </c>
      <c r="BM17" s="13">
        <f>_xlfn.XLOOKUP(A17,'Icyte Report'!A:A,'Icyte Report'!BW:BW)</f>
        <v>0</v>
      </c>
      <c r="BN17" s="13" t="e">
        <f>_xlfn.XLOOKUP(A17,'United Smoothed Indirect Inelig'!A:A,'United Smoothed Indirect Inelig'!G:G)+_xlfn.XLOOKUP(A17,'United Smoothed Indirect Inelig'!A:A,'United Smoothed Indirect Inelig'!H:H) + _xlfn.XLOOKUP(A17,'United Smoothed Indirect Inelig'!A:A,'United Smoothed Indirect Inelig'!I:I)+_xlfn.XLOOKUP(A17,'United Smoothed Indirect Inelig'!A:A,'United Smoothed Indirect Inelig'!J:J)</f>
        <v>#N/A</v>
      </c>
      <c r="BO17" s="18" t="e">
        <f t="shared" si="21"/>
        <v>#N/A</v>
      </c>
      <c r="BP17" s="10">
        <f>_xlfn.XLOOKUP(A17,'Icyte Report'!A:A,'Icyte Report'!BY:BY)</f>
        <v>0</v>
      </c>
      <c r="BQ17" s="10" t="e">
        <f>_xlfn.XLOOKUP(A17,'United Smoothed Indirect Inelig'!A:A,'United Smoothed Indirect Inelig'!L:L)+_xlfn.XLOOKUP(A17,'United Smoothed Indirect Inelig'!A:A,'United Smoothed Indirect Inelig'!M:M) + _xlfn.XLOOKUP(A17,'United Smoothed Indirect Inelig'!A:A,'United Smoothed Indirect Inelig'!N:N)+_xlfn.XLOOKUP(A17,'United Smoothed Indirect Inelig'!A:A,'United Smoothed Indirect Inelig'!O:O)</f>
        <v>#N/A</v>
      </c>
      <c r="BR17" s="10" t="e">
        <f t="shared" si="22"/>
        <v>#N/A</v>
      </c>
      <c r="BS17" s="10">
        <f>_xlfn.XLOOKUP(A17,'Icyte Report'!A:A,'Icyte Report'!BZ:BZ)</f>
        <v>0</v>
      </c>
      <c r="BT17" s="10" t="str">
        <f>_xlfn.XLOOKUP(A17,'United MAMP All Components'!A:A,'United MAMP All Components'!AL:AL)</f>
        <v>0.00</v>
      </c>
      <c r="BU17" s="10">
        <f t="shared" si="23"/>
        <v>0</v>
      </c>
      <c r="BV17" s="26">
        <f>_xlfn.XLOOKUP(A17,'Icyte Report'!A:A,'Icyte Report'!CA:CA)</f>
        <v>0</v>
      </c>
      <c r="BW17" s="22" t="str">
        <f>_xlfn.XLOOKUP(A17,'United MAMP All Components'!A:A,'United MAMP All Components'!AM:AM)</f>
        <v>0.00</v>
      </c>
      <c r="BX17" s="10">
        <f t="shared" si="24"/>
        <v>0</v>
      </c>
      <c r="BY17" s="10">
        <f>_xlfn.XLOOKUP(A17,'Icyte Report'!A:A,'Icyte Report'!CD:CD)</f>
        <v>0</v>
      </c>
      <c r="BZ17" s="10" t="str">
        <f>_xlfn.XLOOKUP(A17,'United_Smoothed Price Concessio'!A:A,'United_Smoothed Price Concessio'!D:D)</f>
        <v>$0.00</v>
      </c>
      <c r="CA17" s="10">
        <f t="shared" si="25"/>
        <v>0</v>
      </c>
      <c r="CB17" s="10">
        <f>_xlfn.XLOOKUP(A17,'Icyte Report'!A:A,'Icyte Report'!CF:CF)</f>
        <v>0</v>
      </c>
      <c r="CC17" s="10" t="e">
        <f>_xlfn.XLOOKUP(A17,'United Smoothed Indirect Inelig'!A:A,'United Smoothed Indirect Inelig'!F:F)</f>
        <v>#N/A</v>
      </c>
      <c r="CD17" s="10" t="e">
        <f t="shared" si="26"/>
        <v>#N/A</v>
      </c>
      <c r="CE17" s="10">
        <f>_xlfn.XLOOKUP(A17,'Icyte Report'!A:A,'Icyte Report'!CL:CL)</f>
        <v>-13888778.560655739</v>
      </c>
      <c r="CF17" s="10" t="str">
        <f>_xlfn.XLOOKUP(A17,'United_Smoothed Price Concessio'!A:A,'United_Smoothed Price Concessio'!H:H)</f>
        <v>$0.00</v>
      </c>
      <c r="CG17" s="10">
        <f t="shared" si="27"/>
        <v>-13888778.560655739</v>
      </c>
      <c r="CH17" s="10">
        <f>_xlfn.XLOOKUP(A17,'Icyte Report'!A:A,'Icyte Report'!CY:CY)</f>
        <v>0</v>
      </c>
      <c r="CI17" s="10" t="str">
        <f>_xlfn.XLOOKUP(A17,'United_Smoothed Price Concessio'!A:A,'United_Smoothed Price Concessio'!C:C)</f>
        <v>$0.00</v>
      </c>
      <c r="CJ17" s="10">
        <f t="shared" si="28"/>
        <v>0</v>
      </c>
      <c r="CK17" s="10">
        <f>_xlfn.XLOOKUP(A17,'Icyte Report'!A:A,'Icyte Report'!CZ:CZ)</f>
        <v>0</v>
      </c>
      <c r="CL17" s="10" t="str">
        <f>_xlfn.XLOOKUP(A17,'United_Smoothed Price Concessio'!A:A,'United_Smoothed Price Concessio'!G:G)</f>
        <v>$0.00</v>
      </c>
      <c r="CM17" s="10">
        <f t="shared" si="29"/>
        <v>0</v>
      </c>
      <c r="CN17" s="13">
        <f>_xlfn.XLOOKUP(A17,'Icyte Report'!A:A,'Icyte Report'!DA:DA)</f>
        <v>0</v>
      </c>
      <c r="CO17" s="13" t="str">
        <f>_xlfn.XLOOKUP(A17,'United_Smoothed Price Concessio'!A:A,'United_Smoothed Price Concessio'!I:I)</f>
        <v>0.000000%</v>
      </c>
      <c r="CP17" s="10">
        <f t="shared" si="30"/>
        <v>0</v>
      </c>
      <c r="CQ17" s="10">
        <f>_xlfn.XLOOKUP(A17,'Icyte Report'!A:A,'Icyte Report'!DB:DB)</f>
        <v>0</v>
      </c>
      <c r="CR17" s="10" t="str">
        <f>_xlfn.XLOOKUP(A17,'United MAMP All Components'!A:A,'United MAMP All Components'!AX:AX)</f>
        <v>0.00</v>
      </c>
      <c r="CS17" s="10">
        <f t="shared" si="31"/>
        <v>0</v>
      </c>
      <c r="CT17" s="10">
        <f>_xlfn.XLOOKUP(A17,'Icyte Report'!A:A,'Icyte Report'!DC:DC)</f>
        <v>0</v>
      </c>
      <c r="CU17" s="10" t="str">
        <f>_xlfn.XLOOKUP(A17,'United MAMP All Components'!A:A,'United MAMP All Components'!BA:BA)</f>
        <v>0.00</v>
      </c>
      <c r="CV17" s="10">
        <f t="shared" si="32"/>
        <v>0</v>
      </c>
      <c r="CW17" s="10">
        <f>_xlfn.XLOOKUP(A17,'Icyte Report'!A:A,'Icyte Report'!DD:DD)</f>
        <v>0</v>
      </c>
      <c r="CX17" s="10" t="str">
        <f>_xlfn.XLOOKUP(A17,'United MAMP All Components'!A:A,'United MAMP All Components'!BD:BD)</f>
        <v>0.00</v>
      </c>
      <c r="CY17" s="10">
        <f t="shared" si="33"/>
        <v>0</v>
      </c>
      <c r="CZ17" s="10">
        <f>_xlfn.XLOOKUP(A17,'Icyte Report'!A:A,'Icyte Report'!DE:DE)</f>
        <v>0</v>
      </c>
      <c r="DA17" s="10" t="str">
        <f>_xlfn.XLOOKUP(A17,'United MAMP All Components'!A:A,'United MAMP All Components'!BE:BE)</f>
        <v>0.00</v>
      </c>
      <c r="DB17" s="10">
        <f t="shared" si="34"/>
        <v>0</v>
      </c>
      <c r="DC17" s="10">
        <f>_xlfn.XLOOKUP(A17,'Icyte Report'!A:A,'Icyte Report'!DI:DI)</f>
        <v>13.887499999999999</v>
      </c>
      <c r="DD17" s="10" t="str">
        <f>_xlfn.XLOOKUP(A17,'United MAMP All Components'!A:A,'United MAMP All Components'!BG:BG)</f>
        <v>13.887500</v>
      </c>
      <c r="DE17" s="10">
        <f t="shared" si="35"/>
        <v>0</v>
      </c>
    </row>
    <row r="18" spans="1:109" x14ac:dyDescent="0.35">
      <c r="A18" s="10" t="s">
        <v>163</v>
      </c>
      <c r="B18" s="10" t="s">
        <v>432</v>
      </c>
      <c r="C18" s="10">
        <f>_xlfn.XLOOKUP(A18,'Icyte Report'!A:A,'Icyte Report'!W:W)</f>
        <v>7332771.5999999996</v>
      </c>
      <c r="D18" s="10" t="str">
        <f>_xlfn.XLOOKUP(A18,'United MAMP All Components'!A:A,'United MAMP All Components'!B:B)</f>
        <v>9,332,618.40</v>
      </c>
      <c r="E18" s="10">
        <f t="shared" si="0"/>
        <v>-1999846.8000000007</v>
      </c>
      <c r="F18" s="10">
        <f>_xlfn.XLOOKUP(A18,'Icyte Report'!A:A,'Icyte Report'!X:X)</f>
        <v>147600</v>
      </c>
      <c r="G18" s="10" t="str">
        <f>_xlfn.XLOOKUP(A18,'United MAMP All Components'!A:A,'United MAMP All Components'!C:C)</f>
        <v>184,800.00</v>
      </c>
      <c r="H18" s="10">
        <f t="shared" si="1"/>
        <v>-37200</v>
      </c>
      <c r="I18" s="10">
        <f>_xlfn.XLOOKUP(A18,'Icyte Report'!A:A,'Icyte Report'!Y:Y)</f>
        <v>0</v>
      </c>
      <c r="J18" s="10" t="str">
        <f>_xlfn.XLOOKUP(A18,'United MAMP All Components'!A:A,'United MAMP All Components'!E:E)</f>
        <v>0.00</v>
      </c>
      <c r="K18" s="10">
        <f t="shared" si="2"/>
        <v>0</v>
      </c>
      <c r="L18" s="10">
        <f>_xlfn.XLOOKUP(A18,'Icyte Report'!A:A,'Icyte Report'!Z:Z)</f>
        <v>0</v>
      </c>
      <c r="M18" s="10" t="str">
        <f>_xlfn.XLOOKUP(A18,'United MAMP All Components'!A:A,'United MAMP All Components'!F:F)</f>
        <v>0.00</v>
      </c>
      <c r="N18" s="10">
        <f t="shared" si="3"/>
        <v>0</v>
      </c>
      <c r="O18" s="10">
        <f>_xlfn.XLOOKUP(A18,'Icyte Report'!A:A,'Icyte Report'!AA:AA)</f>
        <v>7332771.5999999996</v>
      </c>
      <c r="P18" s="10" t="str">
        <f>_xlfn.XLOOKUP(A18,'United MAMP All Components'!A:A,'United MAMP All Components'!H:H)</f>
        <v>9,332,618.40</v>
      </c>
      <c r="Q18" s="10">
        <f t="shared" si="4"/>
        <v>-1999846.8000000007</v>
      </c>
      <c r="R18" s="10">
        <f>_xlfn.XLOOKUP(A18,'Icyte Report'!A:A,'Icyte Report'!AB:AB)</f>
        <v>132000</v>
      </c>
      <c r="S18" s="10" t="str">
        <f>_xlfn.XLOOKUP(A18,'United MAMP All Components'!A:A,'United MAMP All Components'!I:I)</f>
        <v>168,000.00</v>
      </c>
      <c r="T18" s="10">
        <f t="shared" si="5"/>
        <v>-36000</v>
      </c>
      <c r="U18" s="10">
        <f>_xlfn.XLOOKUP(A18,'Icyte Report'!A:A,'Icyte Report'!AC:AC)</f>
        <v>0</v>
      </c>
      <c r="V18" s="10" t="str">
        <f>_xlfn.XLOOKUP(A18,'United MAMP All Components'!A:A,'United MAMP All Components'!K:K)</f>
        <v>0.00</v>
      </c>
      <c r="W18" s="10">
        <f t="shared" si="6"/>
        <v>0</v>
      </c>
      <c r="X18" s="10">
        <f>_xlfn.XLOOKUP(A18,'Icyte Report'!A:A,'Icyte Report'!AD:AD)</f>
        <v>0</v>
      </c>
      <c r="Y18" s="10" t="str">
        <f>_xlfn.XLOOKUP(A18,'United MAMP All Components'!A:A,'United MAMP All Components'!L:L)</f>
        <v>0.00</v>
      </c>
      <c r="Z18" s="10">
        <f t="shared" si="7"/>
        <v>0</v>
      </c>
      <c r="AA18" s="10">
        <f>_xlfn.XLOOKUP(A18,'Icyte Report'!A:A,'Icyte Report'!AE:AE)</f>
        <v>0</v>
      </c>
      <c r="AB18" s="10" t="str">
        <f>_xlfn.XLOOKUP(A18,'United MAMP All Components'!A:A,'United MAMP All Components'!N:N)</f>
        <v>0.00</v>
      </c>
      <c r="AC18" s="10">
        <f t="shared" si="8"/>
        <v>0</v>
      </c>
      <c r="AD18" s="10">
        <f>_xlfn.XLOOKUP(A18,'Icyte Report'!A:A,'Icyte Report'!AF:AF)</f>
        <v>15600</v>
      </c>
      <c r="AE18" s="10" t="str">
        <f>_xlfn.XLOOKUP(A18,'United MAMP All Components'!A:A,'United MAMP All Components'!O:O)</f>
        <v>16,800.00</v>
      </c>
      <c r="AF18" s="10">
        <f t="shared" si="9"/>
        <v>-1200</v>
      </c>
      <c r="AG18" s="10">
        <f>_xlfn.XLOOKUP(A18,'Icyte Report'!A:A,'Icyte Report'!AG:AG)</f>
        <v>0</v>
      </c>
      <c r="AH18" s="10" t="str">
        <f>_xlfn.XLOOKUP(A18,'United MAMP All Components'!A:A,'United MAMP All Components'!Q:Q)</f>
        <v>0.00</v>
      </c>
      <c r="AI18" s="10">
        <f t="shared" si="10"/>
        <v>0</v>
      </c>
      <c r="AJ18" s="10">
        <f>_xlfn.XLOOKUP(A18,'Icyte Report'!A:A,'Icyte Report'!AH:AH)</f>
        <v>0</v>
      </c>
      <c r="AK18" s="10" t="str">
        <f>_xlfn.XLOOKUP(A18,'United MAMP All Components'!A:A,'United MAMP All Components'!R:R)</f>
        <v>0.00</v>
      </c>
      <c r="AL18" s="10">
        <f t="shared" si="11"/>
        <v>0</v>
      </c>
      <c r="AM18" s="10">
        <f>_xlfn.XLOOKUP(A18,'Icyte Report'!A:A,'Icyte Report'!AS:AS)</f>
        <v>0</v>
      </c>
      <c r="AN18" s="10" t="str">
        <f>_xlfn.XLOOKUP(A18,'United MAMP All Components'!A:A,'United MAMP All Components'!T:T)</f>
        <v>0.00</v>
      </c>
      <c r="AO18" s="10">
        <f t="shared" si="12"/>
        <v>0</v>
      </c>
      <c r="AP18" s="10">
        <f>_xlfn.XLOOKUP(A18,'Icyte Report'!A:A,'Icyte Report'!AT:AT)</f>
        <v>0</v>
      </c>
      <c r="AQ18" s="10" t="str">
        <f>_xlfn.XLOOKUP(A18,'United MAMP All Components'!A:A,'United MAMP All Components'!U:U)</f>
        <v>0.00</v>
      </c>
      <c r="AR18" s="10">
        <f t="shared" si="13"/>
        <v>0</v>
      </c>
      <c r="AS18" s="10">
        <f>_xlfn.XLOOKUP(A18,'Icyte Report'!A:A,'Icyte Report'!AU:AU)</f>
        <v>0</v>
      </c>
      <c r="AT18" s="10" t="str">
        <f>_xlfn.XLOOKUP(A18,'United MAMP All Components'!A:A,'United MAMP All Components'!AO:AO)</f>
        <v>0.00</v>
      </c>
      <c r="AU18" s="10">
        <f t="shared" si="14"/>
        <v>0</v>
      </c>
      <c r="AV18" s="10">
        <f>_xlfn.XLOOKUP(A18,'Icyte Report'!A:A,'Icyte Report'!AV:AV)</f>
        <v>0</v>
      </c>
      <c r="AW18" s="10" t="str">
        <f>_xlfn.XLOOKUP(A18,'United MAMP All Components'!A:A,'United MAMP All Components'!AP:AP)</f>
        <v>0.00</v>
      </c>
      <c r="AX18" s="10">
        <f t="shared" si="15"/>
        <v>0</v>
      </c>
      <c r="AY18" s="10">
        <f>_xlfn.XLOOKUP(A18,'Icyte Report'!A:A,'Icyte Report'!BH:BH)</f>
        <v>42860</v>
      </c>
      <c r="AZ18" s="10" t="e">
        <f>_xlfn.XLOOKUP(A18,'United Smoothed Indirect Inelig'!A:A,'United Smoothed Indirect Inelig'!D:D)</f>
        <v>#N/A</v>
      </c>
      <c r="BA18" s="10" t="e">
        <f t="shared" si="16"/>
        <v>#N/A</v>
      </c>
      <c r="BB18" s="10">
        <f>_xlfn.XLOOKUP(A18,'Icyte Report'!A:A,'Icyte Report'!BK:BK)</f>
        <v>1705500</v>
      </c>
      <c r="BC18" s="10" t="e">
        <f t="shared" si="17"/>
        <v>#N/A</v>
      </c>
      <c r="BD18" s="10">
        <f>_xlfn.XLOOKUP(A18,'Icyte Report'!A:A,'Icyte Report'!BN:BN)</f>
        <v>0</v>
      </c>
      <c r="BE18" s="10" t="e">
        <f>_xlfn.XLOOKUP(A18,'United Smoothed Indirect Inelig'!A:A,'United Smoothed Indirect Inelig'!C:C)</f>
        <v>#N/A</v>
      </c>
      <c r="BF18" s="10" t="e">
        <f t="shared" si="18"/>
        <v>#N/A</v>
      </c>
      <c r="BG18" s="10">
        <f>_xlfn.XLOOKUP(A18,'Icyte Report'!A:A,'Icyte Report'!BR:BR)</f>
        <v>0</v>
      </c>
      <c r="BH18" s="10" t="e">
        <f>_xlfn.XLOOKUP(A18,'United Smoothed Indirect Inelig'!A:A,'United Smoothed Indirect Inelig'!B:B)</f>
        <v>#N/A</v>
      </c>
      <c r="BI18" s="10" t="e">
        <f t="shared" si="19"/>
        <v>#N/A</v>
      </c>
      <c r="BJ18" s="10">
        <f>_xlfn.XLOOKUP(A18,'Icyte Report'!A:A,'Icyte Report'!BV:BV)</f>
        <v>0</v>
      </c>
      <c r="BK18" s="10" t="e">
        <f>_xlfn.XLOOKUP(A18,'United Smoothed Indirect Inelig'!A:A,'United Smoothed Indirect Inelig'!P:P)</f>
        <v>#N/A</v>
      </c>
      <c r="BL18" s="10" t="e">
        <f t="shared" si="20"/>
        <v>#N/A</v>
      </c>
      <c r="BM18" s="13">
        <f>_xlfn.XLOOKUP(A18,'Icyte Report'!A:A,'Icyte Report'!BW:BW)</f>
        <v>0</v>
      </c>
      <c r="BN18" s="13" t="e">
        <f>_xlfn.XLOOKUP(A18,'United Smoothed Indirect Inelig'!A:A,'United Smoothed Indirect Inelig'!G:G)+_xlfn.XLOOKUP(A18,'United Smoothed Indirect Inelig'!A:A,'United Smoothed Indirect Inelig'!H:H) + _xlfn.XLOOKUP(A18,'United Smoothed Indirect Inelig'!A:A,'United Smoothed Indirect Inelig'!I:I)+_xlfn.XLOOKUP(A18,'United Smoothed Indirect Inelig'!A:A,'United Smoothed Indirect Inelig'!J:J)</f>
        <v>#N/A</v>
      </c>
      <c r="BO18" s="18" t="e">
        <f t="shared" si="21"/>
        <v>#N/A</v>
      </c>
      <c r="BP18" s="10">
        <f>_xlfn.XLOOKUP(A18,'Icyte Report'!A:A,'Icyte Report'!BY:BY)</f>
        <v>0</v>
      </c>
      <c r="BQ18" s="10" t="e">
        <f>_xlfn.XLOOKUP(A18,'United Smoothed Indirect Inelig'!A:A,'United Smoothed Indirect Inelig'!L:L)+_xlfn.XLOOKUP(A18,'United Smoothed Indirect Inelig'!A:A,'United Smoothed Indirect Inelig'!M:M) + _xlfn.XLOOKUP(A18,'United Smoothed Indirect Inelig'!A:A,'United Smoothed Indirect Inelig'!N:N)+_xlfn.XLOOKUP(A18,'United Smoothed Indirect Inelig'!A:A,'United Smoothed Indirect Inelig'!O:O)</f>
        <v>#N/A</v>
      </c>
      <c r="BR18" s="10" t="e">
        <f t="shared" si="22"/>
        <v>#N/A</v>
      </c>
      <c r="BS18" s="10">
        <f>_xlfn.XLOOKUP(A18,'Icyte Report'!A:A,'Icyte Report'!BZ:BZ)</f>
        <v>0</v>
      </c>
      <c r="BT18" s="10" t="str">
        <f>_xlfn.XLOOKUP(A18,'United MAMP All Components'!A:A,'United MAMP All Components'!AL:AL)</f>
        <v>0.00</v>
      </c>
      <c r="BU18" s="10">
        <f t="shared" si="23"/>
        <v>0</v>
      </c>
      <c r="BV18" s="26">
        <f>_xlfn.XLOOKUP(A18,'Icyte Report'!A:A,'Icyte Report'!CA:CA)</f>
        <v>0</v>
      </c>
      <c r="BW18" s="22" t="str">
        <f>_xlfn.XLOOKUP(A18,'United MAMP All Components'!A:A,'United MAMP All Components'!AM:AM)</f>
        <v>0.00</v>
      </c>
      <c r="BX18" s="10">
        <f t="shared" si="24"/>
        <v>0</v>
      </c>
      <c r="BY18" s="10">
        <f>_xlfn.XLOOKUP(A18,'Icyte Report'!A:A,'Icyte Report'!CD:CD)</f>
        <v>0</v>
      </c>
      <c r="BZ18" s="10" t="str">
        <f>_xlfn.XLOOKUP(A18,'United_Smoothed Price Concessio'!A:A,'United_Smoothed Price Concessio'!D:D)</f>
        <v>$0.00</v>
      </c>
      <c r="CA18" s="10">
        <f t="shared" si="25"/>
        <v>0</v>
      </c>
      <c r="CB18" s="10">
        <f>_xlfn.XLOOKUP(A18,'Icyte Report'!A:A,'Icyte Report'!CF:CF)</f>
        <v>0</v>
      </c>
      <c r="CC18" s="10" t="e">
        <f>_xlfn.XLOOKUP(A18,'United Smoothed Indirect Inelig'!A:A,'United Smoothed Indirect Inelig'!F:F)</f>
        <v>#N/A</v>
      </c>
      <c r="CD18" s="10" t="e">
        <f t="shared" si="26"/>
        <v>#N/A</v>
      </c>
      <c r="CE18" s="10">
        <f>_xlfn.XLOOKUP(A18,'Icyte Report'!A:A,'Icyte Report'!CL:CL)</f>
        <v>-95227204.712852463</v>
      </c>
      <c r="CF18" s="10" t="str">
        <f>_xlfn.XLOOKUP(A18,'United_Smoothed Price Concessio'!A:A,'United_Smoothed Price Concessio'!H:H)</f>
        <v>$0.00</v>
      </c>
      <c r="CG18" s="10">
        <f t="shared" si="27"/>
        <v>-95227204.712852463</v>
      </c>
      <c r="CH18" s="10">
        <f>_xlfn.XLOOKUP(A18,'Icyte Report'!A:A,'Icyte Report'!CY:CY)</f>
        <v>0</v>
      </c>
      <c r="CI18" s="10" t="str">
        <f>_xlfn.XLOOKUP(A18,'United_Smoothed Price Concessio'!A:A,'United_Smoothed Price Concessio'!C:C)</f>
        <v>$0.00</v>
      </c>
      <c r="CJ18" s="10">
        <f t="shared" si="28"/>
        <v>0</v>
      </c>
      <c r="CK18" s="10">
        <f>_xlfn.XLOOKUP(A18,'Icyte Report'!A:A,'Icyte Report'!CZ:CZ)</f>
        <v>0</v>
      </c>
      <c r="CL18" s="10" t="str">
        <f>_xlfn.XLOOKUP(A18,'United_Smoothed Price Concessio'!A:A,'United_Smoothed Price Concessio'!G:G)</f>
        <v>$0.00</v>
      </c>
      <c r="CM18" s="10">
        <f t="shared" si="29"/>
        <v>0</v>
      </c>
      <c r="CN18" s="13">
        <f>_xlfn.XLOOKUP(A18,'Icyte Report'!A:A,'Icyte Report'!DA:DA)</f>
        <v>0</v>
      </c>
      <c r="CO18" s="13" t="str">
        <f>_xlfn.XLOOKUP(A18,'United_Smoothed Price Concessio'!A:A,'United_Smoothed Price Concessio'!I:I)</f>
        <v>0.000000%</v>
      </c>
      <c r="CP18" s="10">
        <f t="shared" si="30"/>
        <v>0</v>
      </c>
      <c r="CQ18" s="10">
        <f>_xlfn.XLOOKUP(A18,'Icyte Report'!A:A,'Icyte Report'!DB:DB)</f>
        <v>0</v>
      </c>
      <c r="CR18" s="10" t="str">
        <f>_xlfn.XLOOKUP(A18,'United MAMP All Components'!A:A,'United MAMP All Components'!AX:AX)</f>
        <v>0.00</v>
      </c>
      <c r="CS18" s="10">
        <f t="shared" si="31"/>
        <v>0</v>
      </c>
      <c r="CT18" s="10">
        <f>_xlfn.XLOOKUP(A18,'Icyte Report'!A:A,'Icyte Report'!DC:DC)</f>
        <v>0</v>
      </c>
      <c r="CU18" s="10" t="str">
        <f>_xlfn.XLOOKUP(A18,'United MAMP All Components'!A:A,'United MAMP All Components'!BA:BA)</f>
        <v>0.00</v>
      </c>
      <c r="CV18" s="10">
        <f t="shared" si="32"/>
        <v>0</v>
      </c>
      <c r="CW18" s="10">
        <f>_xlfn.XLOOKUP(A18,'Icyte Report'!A:A,'Icyte Report'!DD:DD)</f>
        <v>0</v>
      </c>
      <c r="CX18" s="10" t="str">
        <f>_xlfn.XLOOKUP(A18,'United MAMP All Components'!A:A,'United MAMP All Components'!BD:BD)</f>
        <v>0.00</v>
      </c>
      <c r="CY18" s="10">
        <f t="shared" si="33"/>
        <v>0</v>
      </c>
      <c r="CZ18" s="10">
        <f>_xlfn.XLOOKUP(A18,'Icyte Report'!A:A,'Icyte Report'!DE:DE)</f>
        <v>0</v>
      </c>
      <c r="DA18" s="10" t="str">
        <f>_xlfn.XLOOKUP(A18,'United MAMP All Components'!A:A,'United MAMP All Components'!BE:BE)</f>
        <v>0.00</v>
      </c>
      <c r="DB18" s="10">
        <f t="shared" si="34"/>
        <v>0</v>
      </c>
      <c r="DC18" s="10">
        <f>_xlfn.XLOOKUP(A18,'Icyte Report'!A:A,'Icyte Report'!DI:DI)</f>
        <v>55.551299999999998</v>
      </c>
      <c r="DD18" s="10" t="str">
        <f>_xlfn.XLOOKUP(A18,'United MAMP All Components'!A:A,'United MAMP All Components'!BG:BG)</f>
        <v>55.551300</v>
      </c>
      <c r="DE18" s="10">
        <f t="shared" si="35"/>
        <v>0</v>
      </c>
    </row>
    <row r="19" spans="1:109" x14ac:dyDescent="0.35">
      <c r="A19" s="10" t="s">
        <v>166</v>
      </c>
      <c r="B19" s="10" t="s">
        <v>432</v>
      </c>
      <c r="C19" s="10">
        <f>_xlfn.XLOOKUP(A19,'Icyte Report'!A:A,'Icyte Report'!W:W)</f>
        <v>0</v>
      </c>
      <c r="D19" s="10" t="str">
        <f>_xlfn.XLOOKUP(A19,'United MAMP All Components'!A:A,'United MAMP All Components'!B:B)</f>
        <v>0.00</v>
      </c>
      <c r="E19" s="10">
        <f t="shared" si="0"/>
        <v>0</v>
      </c>
      <c r="F19" s="10">
        <f>_xlfn.XLOOKUP(A19,'Icyte Report'!A:A,'Icyte Report'!X:X)</f>
        <v>0</v>
      </c>
      <c r="G19" s="10" t="str">
        <f>_xlfn.XLOOKUP(A19,'United MAMP All Components'!A:A,'United MAMP All Components'!C:C)</f>
        <v>0.00</v>
      </c>
      <c r="H19" s="10">
        <f t="shared" si="1"/>
        <v>0</v>
      </c>
      <c r="I19" s="10">
        <f>_xlfn.XLOOKUP(A19,'Icyte Report'!A:A,'Icyte Report'!Y:Y)</f>
        <v>0</v>
      </c>
      <c r="J19" s="10" t="str">
        <f>_xlfn.XLOOKUP(A19,'United MAMP All Components'!A:A,'United MAMP All Components'!E:E)</f>
        <v>0.00</v>
      </c>
      <c r="K19" s="10">
        <f t="shared" si="2"/>
        <v>0</v>
      </c>
      <c r="L19" s="10">
        <f>_xlfn.XLOOKUP(A19,'Icyte Report'!A:A,'Icyte Report'!Z:Z)</f>
        <v>0</v>
      </c>
      <c r="M19" s="10" t="str">
        <f>_xlfn.XLOOKUP(A19,'United MAMP All Components'!A:A,'United MAMP All Components'!F:F)</f>
        <v>0.00</v>
      </c>
      <c r="N19" s="10">
        <f t="shared" si="3"/>
        <v>0</v>
      </c>
      <c r="O19" s="10">
        <f>_xlfn.XLOOKUP(A19,'Icyte Report'!A:A,'Icyte Report'!AA:AA)</f>
        <v>0</v>
      </c>
      <c r="P19" s="10" t="str">
        <f>_xlfn.XLOOKUP(A19,'United MAMP All Components'!A:A,'United MAMP All Components'!H:H)</f>
        <v>0.00</v>
      </c>
      <c r="Q19" s="10">
        <f t="shared" si="4"/>
        <v>0</v>
      </c>
      <c r="R19" s="10">
        <f>_xlfn.XLOOKUP(A19,'Icyte Report'!A:A,'Icyte Report'!AB:AB)</f>
        <v>0</v>
      </c>
      <c r="S19" s="10" t="str">
        <f>_xlfn.XLOOKUP(A19,'United MAMP All Components'!A:A,'United MAMP All Components'!I:I)</f>
        <v>0.00</v>
      </c>
      <c r="T19" s="10">
        <f t="shared" si="5"/>
        <v>0</v>
      </c>
      <c r="U19" s="10">
        <f>_xlfn.XLOOKUP(A19,'Icyte Report'!A:A,'Icyte Report'!AC:AC)</f>
        <v>0</v>
      </c>
      <c r="V19" s="10" t="str">
        <f>_xlfn.XLOOKUP(A19,'United MAMP All Components'!A:A,'United MAMP All Components'!K:K)</f>
        <v>0.00</v>
      </c>
      <c r="W19" s="10">
        <f t="shared" si="6"/>
        <v>0</v>
      </c>
      <c r="X19" s="10">
        <f>_xlfn.XLOOKUP(A19,'Icyte Report'!A:A,'Icyte Report'!AD:AD)</f>
        <v>0</v>
      </c>
      <c r="Y19" s="10" t="str">
        <f>_xlfn.XLOOKUP(A19,'United MAMP All Components'!A:A,'United MAMP All Components'!L:L)</f>
        <v>0.00</v>
      </c>
      <c r="Z19" s="10">
        <f t="shared" si="7"/>
        <v>0</v>
      </c>
      <c r="AA19" s="10">
        <f>_xlfn.XLOOKUP(A19,'Icyte Report'!A:A,'Icyte Report'!AE:AE)</f>
        <v>0</v>
      </c>
      <c r="AB19" s="10" t="str">
        <f>_xlfn.XLOOKUP(A19,'United MAMP All Components'!A:A,'United MAMP All Components'!N:N)</f>
        <v>0.00</v>
      </c>
      <c r="AC19" s="10">
        <f t="shared" si="8"/>
        <v>0</v>
      </c>
      <c r="AD19" s="10">
        <f>_xlfn.XLOOKUP(A19,'Icyte Report'!A:A,'Icyte Report'!AF:AF)</f>
        <v>0</v>
      </c>
      <c r="AE19" s="10" t="str">
        <f>_xlfn.XLOOKUP(A19,'United MAMP All Components'!A:A,'United MAMP All Components'!O:O)</f>
        <v>0.00</v>
      </c>
      <c r="AF19" s="10">
        <f t="shared" si="9"/>
        <v>0</v>
      </c>
      <c r="AG19" s="10">
        <f>_xlfn.XLOOKUP(A19,'Icyte Report'!A:A,'Icyte Report'!AG:AG)</f>
        <v>0</v>
      </c>
      <c r="AH19" s="10" t="str">
        <f>_xlfn.XLOOKUP(A19,'United MAMP All Components'!A:A,'United MAMP All Components'!Q:Q)</f>
        <v>0.00</v>
      </c>
      <c r="AI19" s="10">
        <f t="shared" si="10"/>
        <v>0</v>
      </c>
      <c r="AJ19" s="10">
        <f>_xlfn.XLOOKUP(A19,'Icyte Report'!A:A,'Icyte Report'!AH:AH)</f>
        <v>0</v>
      </c>
      <c r="AK19" s="10" t="str">
        <f>_xlfn.XLOOKUP(A19,'United MAMP All Components'!A:A,'United MAMP All Components'!R:R)</f>
        <v>0.00</v>
      </c>
      <c r="AL19" s="10">
        <f t="shared" si="11"/>
        <v>0</v>
      </c>
      <c r="AM19" s="10">
        <f>_xlfn.XLOOKUP(A19,'Icyte Report'!A:A,'Icyte Report'!AS:AS)</f>
        <v>0</v>
      </c>
      <c r="AN19" s="10" t="str">
        <f>_xlfn.XLOOKUP(A19,'United MAMP All Components'!A:A,'United MAMP All Components'!T:T)</f>
        <v>0.00</v>
      </c>
      <c r="AO19" s="10">
        <f t="shared" si="12"/>
        <v>0</v>
      </c>
      <c r="AP19" s="10">
        <f>_xlfn.XLOOKUP(A19,'Icyte Report'!A:A,'Icyte Report'!AT:AT)</f>
        <v>0</v>
      </c>
      <c r="AQ19" s="10" t="str">
        <f>_xlfn.XLOOKUP(A19,'United MAMP All Components'!A:A,'United MAMP All Components'!U:U)</f>
        <v>0.00</v>
      </c>
      <c r="AR19" s="10">
        <f t="shared" si="13"/>
        <v>0</v>
      </c>
      <c r="AS19" s="10">
        <f>_xlfn.XLOOKUP(A19,'Icyte Report'!A:A,'Icyte Report'!AU:AU)</f>
        <v>0</v>
      </c>
      <c r="AT19" s="10" t="str">
        <f>_xlfn.XLOOKUP(A19,'United MAMP All Components'!A:A,'United MAMP All Components'!AO:AO)</f>
        <v>0.00</v>
      </c>
      <c r="AU19" s="10">
        <f t="shared" si="14"/>
        <v>0</v>
      </c>
      <c r="AV19" s="10">
        <f>_xlfn.XLOOKUP(A19,'Icyte Report'!A:A,'Icyte Report'!AV:AV)</f>
        <v>0</v>
      </c>
      <c r="AW19" s="10" t="str">
        <f>_xlfn.XLOOKUP(A19,'United MAMP All Components'!A:A,'United MAMP All Components'!AP:AP)</f>
        <v>0.00</v>
      </c>
      <c r="AX19" s="10">
        <f t="shared" si="15"/>
        <v>0</v>
      </c>
      <c r="AY19" s="10">
        <f>_xlfn.XLOOKUP(A19,'Icyte Report'!A:A,'Icyte Report'!BH:BH)</f>
        <v>42860</v>
      </c>
      <c r="AZ19" s="10" t="e">
        <f>_xlfn.XLOOKUP(A19,'United Smoothed Indirect Inelig'!A:A,'United Smoothed Indirect Inelig'!D:D)</f>
        <v>#N/A</v>
      </c>
      <c r="BA19" s="10" t="e">
        <f t="shared" si="16"/>
        <v>#N/A</v>
      </c>
      <c r="BB19" s="10">
        <f>_xlfn.XLOOKUP(A19,'Icyte Report'!A:A,'Icyte Report'!BK:BK)</f>
        <v>1705500</v>
      </c>
      <c r="BC19" s="10" t="e">
        <f t="shared" si="17"/>
        <v>#N/A</v>
      </c>
      <c r="BD19" s="10">
        <f>_xlfn.XLOOKUP(A19,'Icyte Report'!A:A,'Icyte Report'!BN:BN)</f>
        <v>0</v>
      </c>
      <c r="BE19" s="10" t="e">
        <f>_xlfn.XLOOKUP(A19,'United Smoothed Indirect Inelig'!A:A,'United Smoothed Indirect Inelig'!C:C)</f>
        <v>#N/A</v>
      </c>
      <c r="BF19" s="10" t="e">
        <f t="shared" si="18"/>
        <v>#N/A</v>
      </c>
      <c r="BG19" s="10">
        <f>_xlfn.XLOOKUP(A19,'Icyte Report'!A:A,'Icyte Report'!BR:BR)</f>
        <v>0</v>
      </c>
      <c r="BH19" s="10" t="e">
        <f>_xlfn.XLOOKUP(A19,'United Smoothed Indirect Inelig'!A:A,'United Smoothed Indirect Inelig'!B:B)</f>
        <v>#N/A</v>
      </c>
      <c r="BI19" s="10" t="e">
        <f t="shared" si="19"/>
        <v>#N/A</v>
      </c>
      <c r="BJ19" s="10">
        <f>_xlfn.XLOOKUP(A19,'Icyte Report'!A:A,'Icyte Report'!BV:BV)</f>
        <v>0</v>
      </c>
      <c r="BK19" s="10" t="e">
        <f>_xlfn.XLOOKUP(A19,'United Smoothed Indirect Inelig'!A:A,'United Smoothed Indirect Inelig'!P:P)</f>
        <v>#N/A</v>
      </c>
      <c r="BL19" s="10" t="e">
        <f t="shared" si="20"/>
        <v>#N/A</v>
      </c>
      <c r="BM19" s="13">
        <f>_xlfn.XLOOKUP(A19,'Icyte Report'!A:A,'Icyte Report'!BW:BW)</f>
        <v>0</v>
      </c>
      <c r="BN19" s="13" t="e">
        <f>_xlfn.XLOOKUP(A19,'United Smoothed Indirect Inelig'!A:A,'United Smoothed Indirect Inelig'!G:G)+_xlfn.XLOOKUP(A19,'United Smoothed Indirect Inelig'!A:A,'United Smoothed Indirect Inelig'!H:H) + _xlfn.XLOOKUP(A19,'United Smoothed Indirect Inelig'!A:A,'United Smoothed Indirect Inelig'!I:I)+_xlfn.XLOOKUP(A19,'United Smoothed Indirect Inelig'!A:A,'United Smoothed Indirect Inelig'!J:J)</f>
        <v>#N/A</v>
      </c>
      <c r="BO19" s="18" t="e">
        <f t="shared" si="21"/>
        <v>#N/A</v>
      </c>
      <c r="BP19" s="10">
        <f>_xlfn.XLOOKUP(A19,'Icyte Report'!A:A,'Icyte Report'!BY:BY)</f>
        <v>0</v>
      </c>
      <c r="BQ19" s="10" t="e">
        <f>_xlfn.XLOOKUP(A19,'United Smoothed Indirect Inelig'!A:A,'United Smoothed Indirect Inelig'!L:L)+_xlfn.XLOOKUP(A19,'United Smoothed Indirect Inelig'!A:A,'United Smoothed Indirect Inelig'!M:M) + _xlfn.XLOOKUP(A19,'United Smoothed Indirect Inelig'!A:A,'United Smoothed Indirect Inelig'!N:N)+_xlfn.XLOOKUP(A19,'United Smoothed Indirect Inelig'!A:A,'United Smoothed Indirect Inelig'!O:O)</f>
        <v>#N/A</v>
      </c>
      <c r="BR19" s="10" t="e">
        <f t="shared" si="22"/>
        <v>#N/A</v>
      </c>
      <c r="BS19" s="10">
        <f>_xlfn.XLOOKUP(A19,'Icyte Report'!A:A,'Icyte Report'!BZ:BZ)</f>
        <v>0</v>
      </c>
      <c r="BT19" s="10" t="str">
        <f>_xlfn.XLOOKUP(A19,'United MAMP All Components'!A:A,'United MAMP All Components'!AL:AL)</f>
        <v>0.00</v>
      </c>
      <c r="BU19" s="10">
        <f t="shared" si="23"/>
        <v>0</v>
      </c>
      <c r="BV19" s="26">
        <f>_xlfn.XLOOKUP(A19,'Icyte Report'!A:A,'Icyte Report'!CA:CA)</f>
        <v>0</v>
      </c>
      <c r="BW19" s="22" t="str">
        <f>_xlfn.XLOOKUP(A19,'United MAMP All Components'!A:A,'United MAMP All Components'!AM:AM)</f>
        <v>0.00</v>
      </c>
      <c r="BX19" s="10">
        <f t="shared" si="24"/>
        <v>0</v>
      </c>
      <c r="BY19" s="10">
        <f>_xlfn.XLOOKUP(A19,'Icyte Report'!A:A,'Icyte Report'!CD:CD)</f>
        <v>0</v>
      </c>
      <c r="BZ19" s="10" t="str">
        <f>_xlfn.XLOOKUP(A19,'United_Smoothed Price Concessio'!A:A,'United_Smoothed Price Concessio'!D:D)</f>
        <v>$0.00</v>
      </c>
      <c r="CA19" s="10">
        <f t="shared" si="25"/>
        <v>0</v>
      </c>
      <c r="CB19" s="10">
        <f>_xlfn.XLOOKUP(A19,'Icyte Report'!A:A,'Icyte Report'!CF:CF)</f>
        <v>0</v>
      </c>
      <c r="CC19" s="10" t="e">
        <f>_xlfn.XLOOKUP(A19,'United Smoothed Indirect Inelig'!A:A,'United Smoothed Indirect Inelig'!F:F)</f>
        <v>#N/A</v>
      </c>
      <c r="CD19" s="10" t="e">
        <f t="shared" si="26"/>
        <v>#N/A</v>
      </c>
      <c r="CE19" s="10">
        <f>_xlfn.XLOOKUP(A19,'Icyte Report'!A:A,'Icyte Report'!CL:CL)</f>
        <v>-95227264.902295083</v>
      </c>
      <c r="CF19" s="10" t="str">
        <f>_xlfn.XLOOKUP(A19,'United_Smoothed Price Concessio'!A:A,'United_Smoothed Price Concessio'!H:H)</f>
        <v>$0.00</v>
      </c>
      <c r="CG19" s="10">
        <f t="shared" si="27"/>
        <v>-95227264.902295083</v>
      </c>
      <c r="CH19" s="10">
        <f>_xlfn.XLOOKUP(A19,'Icyte Report'!A:A,'Icyte Report'!CY:CY)</f>
        <v>0</v>
      </c>
      <c r="CI19" s="10" t="str">
        <f>_xlfn.XLOOKUP(A19,'United_Smoothed Price Concessio'!A:A,'United_Smoothed Price Concessio'!C:C)</f>
        <v>$0.00</v>
      </c>
      <c r="CJ19" s="10">
        <f t="shared" si="28"/>
        <v>0</v>
      </c>
      <c r="CK19" s="10">
        <f>_xlfn.XLOOKUP(A19,'Icyte Report'!A:A,'Icyte Report'!CZ:CZ)</f>
        <v>0</v>
      </c>
      <c r="CL19" s="10" t="str">
        <f>_xlfn.XLOOKUP(A19,'United_Smoothed Price Concessio'!A:A,'United_Smoothed Price Concessio'!G:G)</f>
        <v>$0.00</v>
      </c>
      <c r="CM19" s="10">
        <f t="shared" si="29"/>
        <v>0</v>
      </c>
      <c r="CN19" s="13">
        <f>_xlfn.XLOOKUP(A19,'Icyte Report'!A:A,'Icyte Report'!DA:DA)</f>
        <v>0</v>
      </c>
      <c r="CO19" s="13" t="str">
        <f>_xlfn.XLOOKUP(A19,'United_Smoothed Price Concessio'!A:A,'United_Smoothed Price Concessio'!I:I)</f>
        <v>0.000000%</v>
      </c>
      <c r="CP19" s="10">
        <f t="shared" si="30"/>
        <v>0</v>
      </c>
      <c r="CQ19" s="10">
        <f>_xlfn.XLOOKUP(A19,'Icyte Report'!A:A,'Icyte Report'!DB:DB)</f>
        <v>0</v>
      </c>
      <c r="CR19" s="10" t="str">
        <f>_xlfn.XLOOKUP(A19,'United MAMP All Components'!A:A,'United MAMP All Components'!AX:AX)</f>
        <v>0.00</v>
      </c>
      <c r="CS19" s="10">
        <f t="shared" si="31"/>
        <v>0</v>
      </c>
      <c r="CT19" s="10">
        <f>_xlfn.XLOOKUP(A19,'Icyte Report'!A:A,'Icyte Report'!DC:DC)</f>
        <v>0</v>
      </c>
      <c r="CU19" s="10" t="str">
        <f>_xlfn.XLOOKUP(A19,'United MAMP All Components'!A:A,'United MAMP All Components'!BA:BA)</f>
        <v>0.00</v>
      </c>
      <c r="CV19" s="10">
        <f t="shared" si="32"/>
        <v>0</v>
      </c>
      <c r="CW19" s="10">
        <f>_xlfn.XLOOKUP(A19,'Icyte Report'!A:A,'Icyte Report'!DD:DD)</f>
        <v>0</v>
      </c>
      <c r="CX19" s="10" t="str">
        <f>_xlfn.XLOOKUP(A19,'United MAMP All Components'!A:A,'United MAMP All Components'!BD:BD)</f>
        <v>0.00</v>
      </c>
      <c r="CY19" s="10">
        <f t="shared" si="33"/>
        <v>0</v>
      </c>
      <c r="CZ19" s="10">
        <f>_xlfn.XLOOKUP(A19,'Icyte Report'!A:A,'Icyte Report'!DE:DE)</f>
        <v>0</v>
      </c>
      <c r="DA19" s="10" t="str">
        <f>_xlfn.XLOOKUP(A19,'United MAMP All Components'!A:A,'United MAMP All Components'!BE:BE)</f>
        <v>0.00</v>
      </c>
      <c r="DB19" s="10">
        <f t="shared" si="34"/>
        <v>0</v>
      </c>
      <c r="DC19" s="10">
        <f>_xlfn.XLOOKUP(A19,'Icyte Report'!A:A,'Icyte Report'!DI:DI)</f>
        <v>55.551299999999998</v>
      </c>
      <c r="DD19" s="10" t="str">
        <f>_xlfn.XLOOKUP(A19,'United MAMP All Components'!A:A,'United MAMP All Components'!BG:BG)</f>
        <v>55.551300</v>
      </c>
      <c r="DE19" s="10">
        <f t="shared" si="35"/>
        <v>0</v>
      </c>
    </row>
    <row r="20" spans="1:109" x14ac:dyDescent="0.35">
      <c r="A20" s="10" t="s">
        <v>167</v>
      </c>
      <c r="B20" s="10" t="s">
        <v>433</v>
      </c>
      <c r="C20" s="10">
        <f>_xlfn.XLOOKUP(A20,'Icyte Report'!A:A,'Icyte Report'!W:W)</f>
        <v>7832753.04</v>
      </c>
      <c r="D20" s="10" t="str">
        <f>_xlfn.XLOOKUP(A20,'United MAMP All Components'!A:A,'United MAMP All Components'!B:B)</f>
        <v>9,499,296.24</v>
      </c>
      <c r="E20" s="10">
        <f t="shared" si="0"/>
        <v>-1666543.2000000002</v>
      </c>
      <c r="F20" s="10">
        <f>_xlfn.XLOOKUP(A20,'Icyte Report'!A:A,'Icyte Report'!X:X)</f>
        <v>68400</v>
      </c>
      <c r="G20" s="10" t="str">
        <f>_xlfn.XLOOKUP(A20,'United MAMP All Components'!A:A,'United MAMP All Components'!C:C)</f>
        <v>73,500.00</v>
      </c>
      <c r="H20" s="10">
        <f t="shared" si="1"/>
        <v>-5100</v>
      </c>
      <c r="I20" s="10">
        <f>_xlfn.XLOOKUP(A20,'Icyte Report'!A:A,'Icyte Report'!Y:Y)</f>
        <v>0</v>
      </c>
      <c r="J20" s="10" t="str">
        <f>_xlfn.XLOOKUP(A20,'United MAMP All Components'!A:A,'United MAMP All Components'!E:E)</f>
        <v>0.00</v>
      </c>
      <c r="K20" s="10">
        <f t="shared" si="2"/>
        <v>0</v>
      </c>
      <c r="L20" s="10">
        <f>_xlfn.XLOOKUP(A20,'Icyte Report'!A:A,'Icyte Report'!Z:Z)</f>
        <v>0</v>
      </c>
      <c r="M20" s="10" t="str">
        <f>_xlfn.XLOOKUP(A20,'United MAMP All Components'!A:A,'United MAMP All Components'!F:F)</f>
        <v>0.00</v>
      </c>
      <c r="N20" s="10">
        <f t="shared" si="3"/>
        <v>0</v>
      </c>
      <c r="O20" s="10">
        <f>_xlfn.XLOOKUP(A20,'Icyte Report'!A:A,'Icyte Report'!AA:AA)</f>
        <v>7832753.04</v>
      </c>
      <c r="P20" s="10" t="str">
        <f>_xlfn.XLOOKUP(A20,'United MAMP All Components'!A:A,'United MAMP All Components'!H:H)</f>
        <v>9,499,296.24</v>
      </c>
      <c r="Q20" s="10">
        <f t="shared" si="4"/>
        <v>-1666543.2000000002</v>
      </c>
      <c r="R20" s="10">
        <f>_xlfn.XLOOKUP(A20,'Icyte Report'!A:A,'Icyte Report'!AB:AB)</f>
        <v>56400</v>
      </c>
      <c r="S20" s="10" t="str">
        <f>_xlfn.XLOOKUP(A20,'United MAMP All Components'!A:A,'United MAMP All Components'!I:I)</f>
        <v>68,400.00</v>
      </c>
      <c r="T20" s="10">
        <f t="shared" si="5"/>
        <v>-12000</v>
      </c>
      <c r="U20" s="10">
        <f>_xlfn.XLOOKUP(A20,'Icyte Report'!A:A,'Icyte Report'!AC:AC)</f>
        <v>0</v>
      </c>
      <c r="V20" s="10" t="str">
        <f>_xlfn.XLOOKUP(A20,'United MAMP All Components'!A:A,'United MAMP All Components'!K:K)</f>
        <v>0.00</v>
      </c>
      <c r="W20" s="10">
        <f t="shared" si="6"/>
        <v>0</v>
      </c>
      <c r="X20" s="10">
        <f>_xlfn.XLOOKUP(A20,'Icyte Report'!A:A,'Icyte Report'!AD:AD)</f>
        <v>0</v>
      </c>
      <c r="Y20" s="10" t="str">
        <f>_xlfn.XLOOKUP(A20,'United MAMP All Components'!A:A,'United MAMP All Components'!L:L)</f>
        <v>0.00</v>
      </c>
      <c r="Z20" s="10">
        <f t="shared" si="7"/>
        <v>0</v>
      </c>
      <c r="AA20" s="10">
        <f>_xlfn.XLOOKUP(A20,'Icyte Report'!A:A,'Icyte Report'!AE:AE)</f>
        <v>0</v>
      </c>
      <c r="AB20" s="10" t="str">
        <f>_xlfn.XLOOKUP(A20,'United MAMP All Components'!A:A,'United MAMP All Components'!N:N)</f>
        <v>0.00</v>
      </c>
      <c r="AC20" s="10">
        <f t="shared" si="8"/>
        <v>0</v>
      </c>
      <c r="AD20" s="10">
        <f>_xlfn.XLOOKUP(A20,'Icyte Report'!A:A,'Icyte Report'!AF:AF)</f>
        <v>12000</v>
      </c>
      <c r="AE20" s="10" t="str">
        <f>_xlfn.XLOOKUP(A20,'United MAMP All Components'!A:A,'United MAMP All Components'!O:O)</f>
        <v>5,100.00</v>
      </c>
      <c r="AF20" s="10">
        <f t="shared" si="9"/>
        <v>6900</v>
      </c>
      <c r="AG20" s="10">
        <f>_xlfn.XLOOKUP(A20,'Icyte Report'!A:A,'Icyte Report'!AG:AG)</f>
        <v>0</v>
      </c>
      <c r="AH20" s="10" t="str">
        <f>_xlfn.XLOOKUP(A20,'United MAMP All Components'!A:A,'United MAMP All Components'!Q:Q)</f>
        <v>0.00</v>
      </c>
      <c r="AI20" s="10">
        <f t="shared" si="10"/>
        <v>0</v>
      </c>
      <c r="AJ20" s="10">
        <f>_xlfn.XLOOKUP(A20,'Icyte Report'!A:A,'Icyte Report'!AH:AH)</f>
        <v>0</v>
      </c>
      <c r="AK20" s="10" t="str">
        <f>_xlfn.XLOOKUP(A20,'United MAMP All Components'!A:A,'United MAMP All Components'!R:R)</f>
        <v>0.00</v>
      </c>
      <c r="AL20" s="10">
        <f t="shared" si="11"/>
        <v>0</v>
      </c>
      <c r="AM20" s="10">
        <f>_xlfn.XLOOKUP(A20,'Icyte Report'!A:A,'Icyte Report'!AS:AS)</f>
        <v>0</v>
      </c>
      <c r="AN20" s="10" t="str">
        <f>_xlfn.XLOOKUP(A20,'United MAMP All Components'!A:A,'United MAMP All Components'!T:T)</f>
        <v>0.00</v>
      </c>
      <c r="AO20" s="10">
        <f t="shared" si="12"/>
        <v>0</v>
      </c>
      <c r="AP20" s="10">
        <f>_xlfn.XLOOKUP(A20,'Icyte Report'!A:A,'Icyte Report'!AT:AT)</f>
        <v>0</v>
      </c>
      <c r="AQ20" s="10" t="str">
        <f>_xlfn.XLOOKUP(A20,'United MAMP All Components'!A:A,'United MAMP All Components'!U:U)</f>
        <v>0.00</v>
      </c>
      <c r="AR20" s="10">
        <f t="shared" si="13"/>
        <v>0</v>
      </c>
      <c r="AS20" s="10">
        <f>_xlfn.XLOOKUP(A20,'Icyte Report'!A:A,'Icyte Report'!AU:AU)</f>
        <v>0</v>
      </c>
      <c r="AT20" s="10" t="str">
        <f>_xlfn.XLOOKUP(A20,'United MAMP All Components'!A:A,'United MAMP All Components'!AO:AO)</f>
        <v>0.00</v>
      </c>
      <c r="AU20" s="10">
        <f t="shared" si="14"/>
        <v>0</v>
      </c>
      <c r="AV20" s="10">
        <f>_xlfn.XLOOKUP(A20,'Icyte Report'!A:A,'Icyte Report'!AV:AV)</f>
        <v>0</v>
      </c>
      <c r="AW20" s="10" t="str">
        <f>_xlfn.XLOOKUP(A20,'United MAMP All Components'!A:A,'United MAMP All Components'!AP:AP)</f>
        <v>0.00</v>
      </c>
      <c r="AX20" s="10">
        <f t="shared" si="15"/>
        <v>0</v>
      </c>
      <c r="AY20" s="10">
        <f>_xlfn.XLOOKUP(A20,'Icyte Report'!A:A,'Icyte Report'!BH:BH)</f>
        <v>19500</v>
      </c>
      <c r="AZ20" s="10" t="e">
        <f>_xlfn.XLOOKUP(A20,'United Smoothed Indirect Inelig'!A:A,'United Smoothed Indirect Inelig'!D:D)</f>
        <v>#N/A</v>
      </c>
      <c r="BA20" s="10" t="e">
        <f t="shared" si="16"/>
        <v>#N/A</v>
      </c>
      <c r="BB20" s="10">
        <f>_xlfn.XLOOKUP(A20,'Icyte Report'!A:A,'Icyte Report'!BK:BK)</f>
        <v>303300</v>
      </c>
      <c r="BC20" s="10" t="e">
        <f t="shared" si="17"/>
        <v>#N/A</v>
      </c>
      <c r="BD20" s="10">
        <f>_xlfn.XLOOKUP(A20,'Icyte Report'!A:A,'Icyte Report'!BN:BN)</f>
        <v>0</v>
      </c>
      <c r="BE20" s="10" t="e">
        <f>_xlfn.XLOOKUP(A20,'United Smoothed Indirect Inelig'!A:A,'United Smoothed Indirect Inelig'!C:C)</f>
        <v>#N/A</v>
      </c>
      <c r="BF20" s="10" t="e">
        <f t="shared" si="18"/>
        <v>#N/A</v>
      </c>
      <c r="BG20" s="10">
        <f>_xlfn.XLOOKUP(A20,'Icyte Report'!A:A,'Icyte Report'!BR:BR)</f>
        <v>0</v>
      </c>
      <c r="BH20" s="10" t="e">
        <f>_xlfn.XLOOKUP(A20,'United Smoothed Indirect Inelig'!A:A,'United Smoothed Indirect Inelig'!B:B)</f>
        <v>#N/A</v>
      </c>
      <c r="BI20" s="10" t="e">
        <f t="shared" si="19"/>
        <v>#N/A</v>
      </c>
      <c r="BJ20" s="10">
        <f>_xlfn.XLOOKUP(A20,'Icyte Report'!A:A,'Icyte Report'!BV:BV)</f>
        <v>0</v>
      </c>
      <c r="BK20" s="10" t="e">
        <f>_xlfn.XLOOKUP(A20,'United Smoothed Indirect Inelig'!A:A,'United Smoothed Indirect Inelig'!P:P)</f>
        <v>#N/A</v>
      </c>
      <c r="BL20" s="10" t="e">
        <f t="shared" si="20"/>
        <v>#N/A</v>
      </c>
      <c r="BM20" s="13">
        <f>_xlfn.XLOOKUP(A20,'Icyte Report'!A:A,'Icyte Report'!BW:BW)</f>
        <v>0</v>
      </c>
      <c r="BN20" s="13" t="e">
        <f>_xlfn.XLOOKUP(A20,'United Smoothed Indirect Inelig'!A:A,'United Smoothed Indirect Inelig'!G:G)+_xlfn.XLOOKUP(A20,'United Smoothed Indirect Inelig'!A:A,'United Smoothed Indirect Inelig'!H:H) + _xlfn.XLOOKUP(A20,'United Smoothed Indirect Inelig'!A:A,'United Smoothed Indirect Inelig'!I:I)+_xlfn.XLOOKUP(A20,'United Smoothed Indirect Inelig'!A:A,'United Smoothed Indirect Inelig'!J:J)</f>
        <v>#N/A</v>
      </c>
      <c r="BO20" s="18" t="e">
        <f t="shared" si="21"/>
        <v>#N/A</v>
      </c>
      <c r="BP20" s="10">
        <f>_xlfn.XLOOKUP(A20,'Icyte Report'!A:A,'Icyte Report'!BY:BY)</f>
        <v>0</v>
      </c>
      <c r="BQ20" s="10" t="e">
        <f>_xlfn.XLOOKUP(A20,'United Smoothed Indirect Inelig'!A:A,'United Smoothed Indirect Inelig'!L:L)+_xlfn.XLOOKUP(A20,'United Smoothed Indirect Inelig'!A:A,'United Smoothed Indirect Inelig'!M:M) + _xlfn.XLOOKUP(A20,'United Smoothed Indirect Inelig'!A:A,'United Smoothed Indirect Inelig'!N:N)+_xlfn.XLOOKUP(A20,'United Smoothed Indirect Inelig'!A:A,'United Smoothed Indirect Inelig'!O:O)</f>
        <v>#N/A</v>
      </c>
      <c r="BR20" s="10" t="e">
        <f t="shared" si="22"/>
        <v>#N/A</v>
      </c>
      <c r="BS20" s="10">
        <f>_xlfn.XLOOKUP(A20,'Icyte Report'!A:A,'Icyte Report'!BZ:BZ)</f>
        <v>0</v>
      </c>
      <c r="BT20" s="10" t="str">
        <f>_xlfn.XLOOKUP(A20,'United MAMP All Components'!A:A,'United MAMP All Components'!AL:AL)</f>
        <v>0.00</v>
      </c>
      <c r="BU20" s="10">
        <f t="shared" si="23"/>
        <v>0</v>
      </c>
      <c r="BV20" s="26">
        <f>_xlfn.XLOOKUP(A20,'Icyte Report'!A:A,'Icyte Report'!CA:CA)</f>
        <v>0</v>
      </c>
      <c r="BW20" s="22" t="str">
        <f>_xlfn.XLOOKUP(A20,'United MAMP All Components'!A:A,'United MAMP All Components'!AM:AM)</f>
        <v>0.00</v>
      </c>
      <c r="BX20" s="10">
        <f t="shared" si="24"/>
        <v>0</v>
      </c>
      <c r="BY20" s="10">
        <f>_xlfn.XLOOKUP(A20,'Icyte Report'!A:A,'Icyte Report'!CD:CD)</f>
        <v>0</v>
      </c>
      <c r="BZ20" s="10" t="str">
        <f>_xlfn.XLOOKUP(A20,'United_Smoothed Price Concessio'!A:A,'United_Smoothed Price Concessio'!D:D)</f>
        <v>$0.00</v>
      </c>
      <c r="CA20" s="10">
        <f t="shared" si="25"/>
        <v>0</v>
      </c>
      <c r="CB20" s="10">
        <f>_xlfn.XLOOKUP(A20,'Icyte Report'!A:A,'Icyte Report'!CF:CF)</f>
        <v>0</v>
      </c>
      <c r="CC20" s="10" t="e">
        <f>_xlfn.XLOOKUP(A20,'United Smoothed Indirect Inelig'!A:A,'United Smoothed Indirect Inelig'!F:F)</f>
        <v>#N/A</v>
      </c>
      <c r="CD20" s="10" t="e">
        <f t="shared" si="26"/>
        <v>#N/A</v>
      </c>
      <c r="CE20" s="10">
        <f>_xlfn.XLOOKUP(A20,'Icyte Report'!A:A,'Icyte Report'!CL:CL)</f>
        <v>-43954636.425245903</v>
      </c>
      <c r="CF20" s="10" t="str">
        <f>_xlfn.XLOOKUP(A20,'United_Smoothed Price Concessio'!A:A,'United_Smoothed Price Concessio'!H:H)</f>
        <v>$0.00</v>
      </c>
      <c r="CG20" s="10">
        <f t="shared" si="27"/>
        <v>-43954636.425245903</v>
      </c>
      <c r="CH20" s="10">
        <f>_xlfn.XLOOKUP(A20,'Icyte Report'!A:A,'Icyte Report'!CY:CY)</f>
        <v>0</v>
      </c>
      <c r="CI20" s="10" t="str">
        <f>_xlfn.XLOOKUP(A20,'United_Smoothed Price Concessio'!A:A,'United_Smoothed Price Concessio'!C:C)</f>
        <v>$0.00</v>
      </c>
      <c r="CJ20" s="10">
        <f t="shared" si="28"/>
        <v>0</v>
      </c>
      <c r="CK20" s="10">
        <f>_xlfn.XLOOKUP(A20,'Icyte Report'!A:A,'Icyte Report'!CZ:CZ)</f>
        <v>0</v>
      </c>
      <c r="CL20" s="10" t="str">
        <f>_xlfn.XLOOKUP(A20,'United_Smoothed Price Concessio'!A:A,'United_Smoothed Price Concessio'!G:G)</f>
        <v>$0.00</v>
      </c>
      <c r="CM20" s="10">
        <f t="shared" si="29"/>
        <v>0</v>
      </c>
      <c r="CN20" s="13">
        <f>_xlfn.XLOOKUP(A20,'Icyte Report'!A:A,'Icyte Report'!DA:DA)</f>
        <v>0</v>
      </c>
      <c r="CO20" s="13" t="str">
        <f>_xlfn.XLOOKUP(A20,'United_Smoothed Price Concessio'!A:A,'United_Smoothed Price Concessio'!I:I)</f>
        <v>0.000000%</v>
      </c>
      <c r="CP20" s="10">
        <f t="shared" si="30"/>
        <v>0</v>
      </c>
      <c r="CQ20" s="10">
        <f>_xlfn.XLOOKUP(A20,'Icyte Report'!A:A,'Icyte Report'!DB:DB)</f>
        <v>0</v>
      </c>
      <c r="CR20" s="10" t="str">
        <f>_xlfn.XLOOKUP(A20,'United MAMP All Components'!A:A,'United MAMP All Components'!AX:AX)</f>
        <v>0.00</v>
      </c>
      <c r="CS20" s="10">
        <f t="shared" si="31"/>
        <v>0</v>
      </c>
      <c r="CT20" s="10">
        <f>_xlfn.XLOOKUP(A20,'Icyte Report'!A:A,'Icyte Report'!DC:DC)</f>
        <v>0</v>
      </c>
      <c r="CU20" s="10" t="str">
        <f>_xlfn.XLOOKUP(A20,'United MAMP All Components'!A:A,'United MAMP All Components'!BA:BA)</f>
        <v>0.00</v>
      </c>
      <c r="CV20" s="10">
        <f t="shared" si="32"/>
        <v>0</v>
      </c>
      <c r="CW20" s="10">
        <f>_xlfn.XLOOKUP(A20,'Icyte Report'!A:A,'Icyte Report'!DD:DD)</f>
        <v>0</v>
      </c>
      <c r="CX20" s="10" t="str">
        <f>_xlfn.XLOOKUP(A20,'United MAMP All Components'!A:A,'United MAMP All Components'!BD:BD)</f>
        <v>0.00</v>
      </c>
      <c r="CY20" s="10">
        <f t="shared" si="33"/>
        <v>0</v>
      </c>
      <c r="CZ20" s="10">
        <f>_xlfn.XLOOKUP(A20,'Icyte Report'!A:A,'Icyte Report'!DE:DE)</f>
        <v>0</v>
      </c>
      <c r="DA20" s="10" t="str">
        <f>_xlfn.XLOOKUP(A20,'United MAMP All Components'!A:A,'United MAMP All Components'!BE:BE)</f>
        <v>0.00</v>
      </c>
      <c r="DB20" s="10">
        <f t="shared" si="34"/>
        <v>0</v>
      </c>
      <c r="DC20" s="10">
        <f>_xlfn.XLOOKUP(A20,'Icyte Report'!A:A,'Icyte Report'!DI:DI)</f>
        <v>138.87860000000001</v>
      </c>
      <c r="DD20" s="10" t="str">
        <f>_xlfn.XLOOKUP(A20,'United MAMP All Components'!A:A,'United MAMP All Components'!BG:BG)</f>
        <v>138.878600</v>
      </c>
      <c r="DE20" s="10">
        <f t="shared" si="35"/>
        <v>0</v>
      </c>
    </row>
    <row r="21" spans="1:109" x14ac:dyDescent="0.35">
      <c r="A21" s="10" t="s">
        <v>172</v>
      </c>
      <c r="B21" s="10" t="s">
        <v>433</v>
      </c>
      <c r="C21" s="10">
        <f>_xlfn.XLOOKUP(A21,'Icyte Report'!A:A,'Icyte Report'!W:W)</f>
        <v>0</v>
      </c>
      <c r="D21" s="10" t="str">
        <f>_xlfn.XLOOKUP(A21,'United MAMP All Components'!A:A,'United MAMP All Components'!B:B)</f>
        <v>0.00</v>
      </c>
      <c r="E21" s="10">
        <f t="shared" si="0"/>
        <v>0</v>
      </c>
      <c r="F21" s="10">
        <f>_xlfn.XLOOKUP(A21,'Icyte Report'!A:A,'Icyte Report'!X:X)</f>
        <v>0</v>
      </c>
      <c r="G21" s="10" t="str">
        <f>_xlfn.XLOOKUP(A21,'United MAMP All Components'!A:A,'United MAMP All Components'!C:C)</f>
        <v>0.00</v>
      </c>
      <c r="H21" s="10">
        <f t="shared" si="1"/>
        <v>0</v>
      </c>
      <c r="I21" s="10">
        <f>_xlfn.XLOOKUP(A21,'Icyte Report'!A:A,'Icyte Report'!Y:Y)</f>
        <v>0</v>
      </c>
      <c r="J21" s="10" t="str">
        <f>_xlfn.XLOOKUP(A21,'United MAMP All Components'!A:A,'United MAMP All Components'!E:E)</f>
        <v>0.00</v>
      </c>
      <c r="K21" s="10">
        <f t="shared" si="2"/>
        <v>0</v>
      </c>
      <c r="L21" s="10">
        <f>_xlfn.XLOOKUP(A21,'Icyte Report'!A:A,'Icyte Report'!Z:Z)</f>
        <v>0</v>
      </c>
      <c r="M21" s="10" t="str">
        <f>_xlfn.XLOOKUP(A21,'United MAMP All Components'!A:A,'United MAMP All Components'!F:F)</f>
        <v>0.00</v>
      </c>
      <c r="N21" s="10">
        <f t="shared" si="3"/>
        <v>0</v>
      </c>
      <c r="O21" s="10">
        <f>_xlfn.XLOOKUP(A21,'Icyte Report'!A:A,'Icyte Report'!AA:AA)</f>
        <v>0</v>
      </c>
      <c r="P21" s="10" t="str">
        <f>_xlfn.XLOOKUP(A21,'United MAMP All Components'!A:A,'United MAMP All Components'!H:H)</f>
        <v>0.00</v>
      </c>
      <c r="Q21" s="10">
        <f t="shared" si="4"/>
        <v>0</v>
      </c>
      <c r="R21" s="10">
        <f>_xlfn.XLOOKUP(A21,'Icyte Report'!A:A,'Icyte Report'!AB:AB)</f>
        <v>0</v>
      </c>
      <c r="S21" s="10" t="str">
        <f>_xlfn.XLOOKUP(A21,'United MAMP All Components'!A:A,'United MAMP All Components'!I:I)</f>
        <v>0.00</v>
      </c>
      <c r="T21" s="10">
        <f t="shared" si="5"/>
        <v>0</v>
      </c>
      <c r="U21" s="10">
        <f>_xlfn.XLOOKUP(A21,'Icyte Report'!A:A,'Icyte Report'!AC:AC)</f>
        <v>0</v>
      </c>
      <c r="V21" s="10" t="str">
        <f>_xlfn.XLOOKUP(A21,'United MAMP All Components'!A:A,'United MAMP All Components'!K:K)</f>
        <v>0.00</v>
      </c>
      <c r="W21" s="10">
        <f t="shared" si="6"/>
        <v>0</v>
      </c>
      <c r="X21" s="10">
        <f>_xlfn.XLOOKUP(A21,'Icyte Report'!A:A,'Icyte Report'!AD:AD)</f>
        <v>0</v>
      </c>
      <c r="Y21" s="10" t="str">
        <f>_xlfn.XLOOKUP(A21,'United MAMP All Components'!A:A,'United MAMP All Components'!L:L)</f>
        <v>0.00</v>
      </c>
      <c r="Z21" s="10">
        <f t="shared" si="7"/>
        <v>0</v>
      </c>
      <c r="AA21" s="10">
        <f>_xlfn.XLOOKUP(A21,'Icyte Report'!A:A,'Icyte Report'!AE:AE)</f>
        <v>0</v>
      </c>
      <c r="AB21" s="10" t="str">
        <f>_xlfn.XLOOKUP(A21,'United MAMP All Components'!A:A,'United MAMP All Components'!N:N)</f>
        <v>0.00</v>
      </c>
      <c r="AC21" s="10">
        <f t="shared" si="8"/>
        <v>0</v>
      </c>
      <c r="AD21" s="10">
        <f>_xlfn.XLOOKUP(A21,'Icyte Report'!A:A,'Icyte Report'!AF:AF)</f>
        <v>0</v>
      </c>
      <c r="AE21" s="10" t="str">
        <f>_xlfn.XLOOKUP(A21,'United MAMP All Components'!A:A,'United MAMP All Components'!O:O)</f>
        <v>0.00</v>
      </c>
      <c r="AF21" s="10">
        <f t="shared" si="9"/>
        <v>0</v>
      </c>
      <c r="AG21" s="10">
        <f>_xlfn.XLOOKUP(A21,'Icyte Report'!A:A,'Icyte Report'!AG:AG)</f>
        <v>0</v>
      </c>
      <c r="AH21" s="10" t="str">
        <f>_xlfn.XLOOKUP(A21,'United MAMP All Components'!A:A,'United MAMP All Components'!Q:Q)</f>
        <v>0.00</v>
      </c>
      <c r="AI21" s="10">
        <f t="shared" si="10"/>
        <v>0</v>
      </c>
      <c r="AJ21" s="10">
        <f>_xlfn.XLOOKUP(A21,'Icyte Report'!A:A,'Icyte Report'!AH:AH)</f>
        <v>0</v>
      </c>
      <c r="AK21" s="10" t="str">
        <f>_xlfn.XLOOKUP(A21,'United MAMP All Components'!A:A,'United MAMP All Components'!R:R)</f>
        <v>0.00</v>
      </c>
      <c r="AL21" s="10">
        <f t="shared" si="11"/>
        <v>0</v>
      </c>
      <c r="AM21" s="10">
        <f>_xlfn.XLOOKUP(A21,'Icyte Report'!A:A,'Icyte Report'!AS:AS)</f>
        <v>0</v>
      </c>
      <c r="AN21" s="10" t="str">
        <f>_xlfn.XLOOKUP(A21,'United MAMP All Components'!A:A,'United MAMP All Components'!T:T)</f>
        <v>0.00</v>
      </c>
      <c r="AO21" s="10">
        <f t="shared" si="12"/>
        <v>0</v>
      </c>
      <c r="AP21" s="10">
        <f>_xlfn.XLOOKUP(A21,'Icyte Report'!A:A,'Icyte Report'!AT:AT)</f>
        <v>0</v>
      </c>
      <c r="AQ21" s="10" t="str">
        <f>_xlfn.XLOOKUP(A21,'United MAMP All Components'!A:A,'United MAMP All Components'!U:U)</f>
        <v>0.00</v>
      </c>
      <c r="AR21" s="10">
        <f t="shared" si="13"/>
        <v>0</v>
      </c>
      <c r="AS21" s="10">
        <f>_xlfn.XLOOKUP(A21,'Icyte Report'!A:A,'Icyte Report'!AU:AU)</f>
        <v>0</v>
      </c>
      <c r="AT21" s="10" t="str">
        <f>_xlfn.XLOOKUP(A21,'United MAMP All Components'!A:A,'United MAMP All Components'!AO:AO)</f>
        <v>0.00</v>
      </c>
      <c r="AU21" s="10">
        <f t="shared" si="14"/>
        <v>0</v>
      </c>
      <c r="AV21" s="10">
        <f>_xlfn.XLOOKUP(A21,'Icyte Report'!A:A,'Icyte Report'!AV:AV)</f>
        <v>0</v>
      </c>
      <c r="AW21" s="10" t="str">
        <f>_xlfn.XLOOKUP(A21,'United MAMP All Components'!A:A,'United MAMP All Components'!AP:AP)</f>
        <v>0.00</v>
      </c>
      <c r="AX21" s="10">
        <f t="shared" si="15"/>
        <v>0</v>
      </c>
      <c r="AY21" s="10">
        <f>_xlfn.XLOOKUP(A21,'Icyte Report'!A:A,'Icyte Report'!BH:BH)</f>
        <v>19500</v>
      </c>
      <c r="AZ21" s="10" t="e">
        <f>_xlfn.XLOOKUP(A21,'United Smoothed Indirect Inelig'!A:A,'United Smoothed Indirect Inelig'!D:D)</f>
        <v>#N/A</v>
      </c>
      <c r="BA21" s="10" t="e">
        <f t="shared" si="16"/>
        <v>#N/A</v>
      </c>
      <c r="BB21" s="10">
        <f>_xlfn.XLOOKUP(A21,'Icyte Report'!A:A,'Icyte Report'!BK:BK)</f>
        <v>303300</v>
      </c>
      <c r="BC21" s="10" t="e">
        <f t="shared" si="17"/>
        <v>#N/A</v>
      </c>
      <c r="BD21" s="10">
        <f>_xlfn.XLOOKUP(A21,'Icyte Report'!A:A,'Icyte Report'!BN:BN)</f>
        <v>0</v>
      </c>
      <c r="BE21" s="10" t="e">
        <f>_xlfn.XLOOKUP(A21,'United Smoothed Indirect Inelig'!A:A,'United Smoothed Indirect Inelig'!C:C)</f>
        <v>#N/A</v>
      </c>
      <c r="BF21" s="10" t="e">
        <f t="shared" si="18"/>
        <v>#N/A</v>
      </c>
      <c r="BG21" s="10">
        <f>_xlfn.XLOOKUP(A21,'Icyte Report'!A:A,'Icyte Report'!BR:BR)</f>
        <v>0</v>
      </c>
      <c r="BH21" s="10" t="e">
        <f>_xlfn.XLOOKUP(A21,'United Smoothed Indirect Inelig'!A:A,'United Smoothed Indirect Inelig'!B:B)</f>
        <v>#N/A</v>
      </c>
      <c r="BI21" s="10" t="e">
        <f t="shared" si="19"/>
        <v>#N/A</v>
      </c>
      <c r="BJ21" s="10">
        <f>_xlfn.XLOOKUP(A21,'Icyte Report'!A:A,'Icyte Report'!BV:BV)</f>
        <v>0</v>
      </c>
      <c r="BK21" s="10" t="e">
        <f>_xlfn.XLOOKUP(A21,'United Smoothed Indirect Inelig'!A:A,'United Smoothed Indirect Inelig'!P:P)</f>
        <v>#N/A</v>
      </c>
      <c r="BL21" s="10" t="e">
        <f t="shared" si="20"/>
        <v>#N/A</v>
      </c>
      <c r="BM21" s="13">
        <f>_xlfn.XLOOKUP(A21,'Icyte Report'!A:A,'Icyte Report'!BW:BW)</f>
        <v>0</v>
      </c>
      <c r="BN21" s="13" t="e">
        <f>_xlfn.XLOOKUP(A21,'United Smoothed Indirect Inelig'!A:A,'United Smoothed Indirect Inelig'!G:G)+_xlfn.XLOOKUP(A21,'United Smoothed Indirect Inelig'!A:A,'United Smoothed Indirect Inelig'!H:H) + _xlfn.XLOOKUP(A21,'United Smoothed Indirect Inelig'!A:A,'United Smoothed Indirect Inelig'!I:I)+_xlfn.XLOOKUP(A21,'United Smoothed Indirect Inelig'!A:A,'United Smoothed Indirect Inelig'!J:J)</f>
        <v>#N/A</v>
      </c>
      <c r="BO21" s="18" t="e">
        <f t="shared" si="21"/>
        <v>#N/A</v>
      </c>
      <c r="BP21" s="10">
        <f>_xlfn.XLOOKUP(A21,'Icyte Report'!A:A,'Icyte Report'!BY:BY)</f>
        <v>0</v>
      </c>
      <c r="BQ21" s="10" t="e">
        <f>_xlfn.XLOOKUP(A21,'United Smoothed Indirect Inelig'!A:A,'United Smoothed Indirect Inelig'!L:L)+_xlfn.XLOOKUP(A21,'United Smoothed Indirect Inelig'!A:A,'United Smoothed Indirect Inelig'!M:M) + _xlfn.XLOOKUP(A21,'United Smoothed Indirect Inelig'!A:A,'United Smoothed Indirect Inelig'!N:N)+_xlfn.XLOOKUP(A21,'United Smoothed Indirect Inelig'!A:A,'United Smoothed Indirect Inelig'!O:O)</f>
        <v>#N/A</v>
      </c>
      <c r="BR21" s="10" t="e">
        <f t="shared" si="22"/>
        <v>#N/A</v>
      </c>
      <c r="BS21" s="10">
        <f>_xlfn.XLOOKUP(A21,'Icyte Report'!A:A,'Icyte Report'!BZ:BZ)</f>
        <v>0</v>
      </c>
      <c r="BT21" s="10" t="str">
        <f>_xlfn.XLOOKUP(A21,'United MAMP All Components'!A:A,'United MAMP All Components'!AL:AL)</f>
        <v>0.00</v>
      </c>
      <c r="BU21" s="10">
        <f t="shared" si="23"/>
        <v>0</v>
      </c>
      <c r="BV21" s="26">
        <f>_xlfn.XLOOKUP(A21,'Icyte Report'!A:A,'Icyte Report'!CA:CA)</f>
        <v>0</v>
      </c>
      <c r="BW21" s="22" t="str">
        <f>_xlfn.XLOOKUP(A21,'United MAMP All Components'!A:A,'United MAMP All Components'!AM:AM)</f>
        <v>0.00</v>
      </c>
      <c r="BX21" s="10">
        <f t="shared" si="24"/>
        <v>0</v>
      </c>
      <c r="BY21" s="10">
        <f>_xlfn.XLOOKUP(A21,'Icyte Report'!A:A,'Icyte Report'!CD:CD)</f>
        <v>0</v>
      </c>
      <c r="BZ21" s="10" t="str">
        <f>_xlfn.XLOOKUP(A21,'United_Smoothed Price Concessio'!A:A,'United_Smoothed Price Concessio'!D:D)</f>
        <v>$0.00</v>
      </c>
      <c r="CA21" s="10">
        <f t="shared" si="25"/>
        <v>0</v>
      </c>
      <c r="CB21" s="10">
        <f>_xlfn.XLOOKUP(A21,'Icyte Report'!A:A,'Icyte Report'!CF:CF)</f>
        <v>0</v>
      </c>
      <c r="CC21" s="10" t="e">
        <f>_xlfn.XLOOKUP(A21,'United Smoothed Indirect Inelig'!A:A,'United Smoothed Indirect Inelig'!F:F)</f>
        <v>#N/A</v>
      </c>
      <c r="CD21" s="10" t="e">
        <f t="shared" si="26"/>
        <v>#N/A</v>
      </c>
      <c r="CE21" s="10">
        <f>_xlfn.XLOOKUP(A21,'Icyte Report'!A:A,'Icyte Report'!CL:CL)</f>
        <v>-43954456.239344262</v>
      </c>
      <c r="CF21" s="10" t="str">
        <f>_xlfn.XLOOKUP(A21,'United_Smoothed Price Concessio'!A:A,'United_Smoothed Price Concessio'!H:H)</f>
        <v>$0.00</v>
      </c>
      <c r="CG21" s="10">
        <f t="shared" si="27"/>
        <v>-43954456.239344262</v>
      </c>
      <c r="CH21" s="10">
        <f>_xlfn.XLOOKUP(A21,'Icyte Report'!A:A,'Icyte Report'!CY:CY)</f>
        <v>0</v>
      </c>
      <c r="CI21" s="10" t="str">
        <f>_xlfn.XLOOKUP(A21,'United_Smoothed Price Concessio'!A:A,'United_Smoothed Price Concessio'!C:C)</f>
        <v>$0.00</v>
      </c>
      <c r="CJ21" s="10">
        <f t="shared" si="28"/>
        <v>0</v>
      </c>
      <c r="CK21" s="10">
        <f>_xlfn.XLOOKUP(A21,'Icyte Report'!A:A,'Icyte Report'!CZ:CZ)</f>
        <v>0</v>
      </c>
      <c r="CL21" s="10" t="str">
        <f>_xlfn.XLOOKUP(A21,'United_Smoothed Price Concessio'!A:A,'United_Smoothed Price Concessio'!G:G)</f>
        <v>$0.00</v>
      </c>
      <c r="CM21" s="10">
        <f t="shared" si="29"/>
        <v>0</v>
      </c>
      <c r="CN21" s="13">
        <f>_xlfn.XLOOKUP(A21,'Icyte Report'!A:A,'Icyte Report'!DA:DA)</f>
        <v>0</v>
      </c>
      <c r="CO21" s="13" t="str">
        <f>_xlfn.XLOOKUP(A21,'United_Smoothed Price Concessio'!A:A,'United_Smoothed Price Concessio'!I:I)</f>
        <v>0.000000%</v>
      </c>
      <c r="CP21" s="10">
        <f t="shared" si="30"/>
        <v>0</v>
      </c>
      <c r="CQ21" s="10">
        <f>_xlfn.XLOOKUP(A21,'Icyte Report'!A:A,'Icyte Report'!DB:DB)</f>
        <v>0</v>
      </c>
      <c r="CR21" s="10" t="str">
        <f>_xlfn.XLOOKUP(A21,'United MAMP All Components'!A:A,'United MAMP All Components'!AX:AX)</f>
        <v>0.00</v>
      </c>
      <c r="CS21" s="10">
        <f t="shared" si="31"/>
        <v>0</v>
      </c>
      <c r="CT21" s="10">
        <f>_xlfn.XLOOKUP(A21,'Icyte Report'!A:A,'Icyte Report'!DC:DC)</f>
        <v>0</v>
      </c>
      <c r="CU21" s="10" t="str">
        <f>_xlfn.XLOOKUP(A21,'United MAMP All Components'!A:A,'United MAMP All Components'!BA:BA)</f>
        <v>0.00</v>
      </c>
      <c r="CV21" s="10">
        <f t="shared" si="32"/>
        <v>0</v>
      </c>
      <c r="CW21" s="10">
        <f>_xlfn.XLOOKUP(A21,'Icyte Report'!A:A,'Icyte Report'!DD:DD)</f>
        <v>0</v>
      </c>
      <c r="CX21" s="10" t="str">
        <f>_xlfn.XLOOKUP(A21,'United MAMP All Components'!A:A,'United MAMP All Components'!BD:BD)</f>
        <v>0.00</v>
      </c>
      <c r="CY21" s="10">
        <f t="shared" si="33"/>
        <v>0</v>
      </c>
      <c r="CZ21" s="10">
        <f>_xlfn.XLOOKUP(A21,'Icyte Report'!A:A,'Icyte Report'!DE:DE)</f>
        <v>0</v>
      </c>
      <c r="DA21" s="10" t="str">
        <f>_xlfn.XLOOKUP(A21,'United MAMP All Components'!A:A,'United MAMP All Components'!BE:BE)</f>
        <v>0.00</v>
      </c>
      <c r="DB21" s="10">
        <f t="shared" si="34"/>
        <v>0</v>
      </c>
      <c r="DC21" s="10">
        <f>_xlfn.XLOOKUP(A21,'Icyte Report'!A:A,'Icyte Report'!DI:DI)</f>
        <v>138.87860000000001</v>
      </c>
      <c r="DD21" s="10" t="str">
        <f>_xlfn.XLOOKUP(A21,'United MAMP All Components'!A:A,'United MAMP All Components'!BG:BG)</f>
        <v>138.878600</v>
      </c>
      <c r="DE21" s="10">
        <f t="shared" si="35"/>
        <v>0</v>
      </c>
    </row>
    <row r="22" spans="1:109" x14ac:dyDescent="0.35">
      <c r="A22" s="10" t="s">
        <v>173</v>
      </c>
      <c r="B22" s="10" t="s">
        <v>434</v>
      </c>
      <c r="C22" s="10">
        <f>_xlfn.XLOOKUP(A22,'Icyte Report'!A:A,'Icyte Report'!W:W)</f>
        <v>22331662.800000001</v>
      </c>
      <c r="D22" s="10" t="str">
        <f>_xlfn.XLOOKUP(A22,'United MAMP All Components'!A:A,'United MAMP All Components'!B:B)</f>
        <v>25,998,055.20</v>
      </c>
      <c r="E22" s="10">
        <f t="shared" si="0"/>
        <v>-3666392.3999999985</v>
      </c>
      <c r="F22" s="10">
        <f>_xlfn.XLOOKUP(A22,'Icyte Report'!A:A,'Icyte Report'!X:X)</f>
        <v>110000</v>
      </c>
      <c r="G22" s="10" t="str">
        <f>_xlfn.XLOOKUP(A22,'United MAMP All Components'!A:A,'United MAMP All Components'!C:C)</f>
        <v>105,600.00</v>
      </c>
      <c r="H22" s="10">
        <f t="shared" si="1"/>
        <v>4400</v>
      </c>
      <c r="I22" s="10">
        <f>_xlfn.XLOOKUP(A22,'Icyte Report'!A:A,'Icyte Report'!Y:Y)</f>
        <v>0</v>
      </c>
      <c r="J22" s="10" t="str">
        <f>_xlfn.XLOOKUP(A22,'United MAMP All Components'!A:A,'United MAMP All Components'!E:E)</f>
        <v>0.00</v>
      </c>
      <c r="K22" s="10">
        <f t="shared" si="2"/>
        <v>0</v>
      </c>
      <c r="L22" s="10">
        <f>_xlfn.XLOOKUP(A22,'Icyte Report'!A:A,'Icyte Report'!Z:Z)</f>
        <v>0</v>
      </c>
      <c r="M22" s="10" t="str">
        <f>_xlfn.XLOOKUP(A22,'United MAMP All Components'!A:A,'United MAMP All Components'!F:F)</f>
        <v>0.00</v>
      </c>
      <c r="N22" s="10">
        <f t="shared" si="3"/>
        <v>0</v>
      </c>
      <c r="O22" s="10">
        <f>_xlfn.XLOOKUP(A22,'Icyte Report'!A:A,'Icyte Report'!AA:AA)</f>
        <v>22331662.800000001</v>
      </c>
      <c r="P22" s="10" t="str">
        <f>_xlfn.XLOOKUP(A22,'United MAMP All Components'!A:A,'United MAMP All Components'!H:H)</f>
        <v>25,998,055.20</v>
      </c>
      <c r="Q22" s="10">
        <f t="shared" si="4"/>
        <v>-3666392.3999999985</v>
      </c>
      <c r="R22" s="10">
        <f>_xlfn.XLOOKUP(A22,'Icyte Report'!A:A,'Icyte Report'!AB:AB)</f>
        <v>80400</v>
      </c>
      <c r="S22" s="10" t="str">
        <f>_xlfn.XLOOKUP(A22,'United MAMP All Components'!A:A,'United MAMP All Components'!I:I)</f>
        <v>93,600.00</v>
      </c>
      <c r="T22" s="10">
        <f t="shared" si="5"/>
        <v>-13200</v>
      </c>
      <c r="U22" s="10">
        <f>_xlfn.XLOOKUP(A22,'Icyte Report'!A:A,'Icyte Report'!AC:AC)</f>
        <v>0</v>
      </c>
      <c r="V22" s="10" t="str">
        <f>_xlfn.XLOOKUP(A22,'United MAMP All Components'!A:A,'United MAMP All Components'!K:K)</f>
        <v>0.00</v>
      </c>
      <c r="W22" s="10">
        <f t="shared" si="6"/>
        <v>0</v>
      </c>
      <c r="X22" s="10">
        <f>_xlfn.XLOOKUP(A22,'Icyte Report'!A:A,'Icyte Report'!AD:AD)</f>
        <v>0</v>
      </c>
      <c r="Y22" s="10" t="str">
        <f>_xlfn.XLOOKUP(A22,'United MAMP All Components'!A:A,'United MAMP All Components'!L:L)</f>
        <v>0.00</v>
      </c>
      <c r="Z22" s="10">
        <f t="shared" si="7"/>
        <v>0</v>
      </c>
      <c r="AA22" s="10">
        <f>_xlfn.XLOOKUP(A22,'Icyte Report'!A:A,'Icyte Report'!AE:AE)</f>
        <v>0</v>
      </c>
      <c r="AB22" s="10" t="str">
        <f>_xlfn.XLOOKUP(A22,'United MAMP All Components'!A:A,'United MAMP All Components'!N:N)</f>
        <v>0.00</v>
      </c>
      <c r="AC22" s="10">
        <f t="shared" si="8"/>
        <v>0</v>
      </c>
      <c r="AD22" s="10">
        <f>_xlfn.XLOOKUP(A22,'Icyte Report'!A:A,'Icyte Report'!AF:AF)</f>
        <v>29600</v>
      </c>
      <c r="AE22" s="10" t="str">
        <f>_xlfn.XLOOKUP(A22,'United MAMP All Components'!A:A,'United MAMP All Components'!O:O)</f>
        <v>12,000.00</v>
      </c>
      <c r="AF22" s="10">
        <f t="shared" si="9"/>
        <v>17600</v>
      </c>
      <c r="AG22" s="10">
        <f>_xlfn.XLOOKUP(A22,'Icyte Report'!A:A,'Icyte Report'!AG:AG)</f>
        <v>0</v>
      </c>
      <c r="AH22" s="10" t="str">
        <f>_xlfn.XLOOKUP(A22,'United MAMP All Components'!A:A,'United MAMP All Components'!Q:Q)</f>
        <v>0.00</v>
      </c>
      <c r="AI22" s="10">
        <f t="shared" si="10"/>
        <v>0</v>
      </c>
      <c r="AJ22" s="10">
        <f>_xlfn.XLOOKUP(A22,'Icyte Report'!A:A,'Icyte Report'!AH:AH)</f>
        <v>0</v>
      </c>
      <c r="AK22" s="10" t="str">
        <f>_xlfn.XLOOKUP(A22,'United MAMP All Components'!A:A,'United MAMP All Components'!R:R)</f>
        <v>0.00</v>
      </c>
      <c r="AL22" s="10">
        <f t="shared" si="11"/>
        <v>0</v>
      </c>
      <c r="AM22" s="10">
        <f>_xlfn.XLOOKUP(A22,'Icyte Report'!A:A,'Icyte Report'!AS:AS)</f>
        <v>0</v>
      </c>
      <c r="AN22" s="10" t="str">
        <f>_xlfn.XLOOKUP(A22,'United MAMP All Components'!A:A,'United MAMP All Components'!T:T)</f>
        <v>0.00</v>
      </c>
      <c r="AO22" s="10">
        <f t="shared" si="12"/>
        <v>0</v>
      </c>
      <c r="AP22" s="10">
        <f>_xlfn.XLOOKUP(A22,'Icyte Report'!A:A,'Icyte Report'!AT:AT)</f>
        <v>0</v>
      </c>
      <c r="AQ22" s="10" t="str">
        <f>_xlfn.XLOOKUP(A22,'United MAMP All Components'!A:A,'United MAMP All Components'!U:U)</f>
        <v>0.00</v>
      </c>
      <c r="AR22" s="10">
        <f t="shared" si="13"/>
        <v>0</v>
      </c>
      <c r="AS22" s="10">
        <f>_xlfn.XLOOKUP(A22,'Icyte Report'!A:A,'Icyte Report'!AU:AU)</f>
        <v>0</v>
      </c>
      <c r="AT22" s="10" t="str">
        <f>_xlfn.XLOOKUP(A22,'United MAMP All Components'!A:A,'United MAMP All Components'!AO:AO)</f>
        <v>0.00</v>
      </c>
      <c r="AU22" s="10">
        <f t="shared" si="14"/>
        <v>0</v>
      </c>
      <c r="AV22" s="10">
        <f>_xlfn.XLOOKUP(A22,'Icyte Report'!A:A,'Icyte Report'!AV:AV)</f>
        <v>0</v>
      </c>
      <c r="AW22" s="10" t="str">
        <f>_xlfn.XLOOKUP(A22,'United MAMP All Components'!A:A,'United MAMP All Components'!AP:AP)</f>
        <v>0.00</v>
      </c>
      <c r="AX22" s="10">
        <f t="shared" si="15"/>
        <v>0</v>
      </c>
      <c r="AY22" s="10">
        <f>_xlfn.XLOOKUP(A22,'Icyte Report'!A:A,'Icyte Report'!BH:BH)</f>
        <v>39700</v>
      </c>
      <c r="AZ22" s="10" t="e">
        <f>_xlfn.XLOOKUP(A22,'United Smoothed Indirect Inelig'!A:A,'United Smoothed Indirect Inelig'!D:D)</f>
        <v>#N/A</v>
      </c>
      <c r="BA22" s="10" t="e">
        <f t="shared" si="16"/>
        <v>#N/A</v>
      </c>
      <c r="BB22" s="10">
        <f>_xlfn.XLOOKUP(A22,'Icyte Report'!A:A,'Icyte Report'!BK:BK)</f>
        <v>1327900</v>
      </c>
      <c r="BC22" s="10" t="e">
        <f t="shared" si="17"/>
        <v>#N/A</v>
      </c>
      <c r="BD22" s="10">
        <f>_xlfn.XLOOKUP(A22,'Icyte Report'!A:A,'Icyte Report'!BN:BN)</f>
        <v>0</v>
      </c>
      <c r="BE22" s="10" t="e">
        <f>_xlfn.XLOOKUP(A22,'United Smoothed Indirect Inelig'!A:A,'United Smoothed Indirect Inelig'!C:C)</f>
        <v>#N/A</v>
      </c>
      <c r="BF22" s="10" t="e">
        <f t="shared" si="18"/>
        <v>#N/A</v>
      </c>
      <c r="BG22" s="10">
        <f>_xlfn.XLOOKUP(A22,'Icyte Report'!A:A,'Icyte Report'!BR:BR)</f>
        <v>0</v>
      </c>
      <c r="BH22" s="10" t="e">
        <f>_xlfn.XLOOKUP(A22,'United Smoothed Indirect Inelig'!A:A,'United Smoothed Indirect Inelig'!B:B)</f>
        <v>#N/A</v>
      </c>
      <c r="BI22" s="10" t="e">
        <f t="shared" si="19"/>
        <v>#N/A</v>
      </c>
      <c r="BJ22" s="10">
        <f>_xlfn.XLOOKUP(A22,'Icyte Report'!A:A,'Icyte Report'!BV:BV)</f>
        <v>0</v>
      </c>
      <c r="BK22" s="10" t="e">
        <f>_xlfn.XLOOKUP(A22,'United Smoothed Indirect Inelig'!A:A,'United Smoothed Indirect Inelig'!P:P)</f>
        <v>#N/A</v>
      </c>
      <c r="BL22" s="10" t="e">
        <f t="shared" si="20"/>
        <v>#N/A</v>
      </c>
      <c r="BM22" s="13">
        <f>_xlfn.XLOOKUP(A22,'Icyte Report'!A:A,'Icyte Report'!BW:BW)</f>
        <v>0</v>
      </c>
      <c r="BN22" s="13" t="e">
        <f>_xlfn.XLOOKUP(A22,'United Smoothed Indirect Inelig'!A:A,'United Smoothed Indirect Inelig'!G:G)+_xlfn.XLOOKUP(A22,'United Smoothed Indirect Inelig'!A:A,'United Smoothed Indirect Inelig'!H:H) + _xlfn.XLOOKUP(A22,'United Smoothed Indirect Inelig'!A:A,'United Smoothed Indirect Inelig'!I:I)+_xlfn.XLOOKUP(A22,'United Smoothed Indirect Inelig'!A:A,'United Smoothed Indirect Inelig'!J:J)</f>
        <v>#N/A</v>
      </c>
      <c r="BO22" s="18" t="e">
        <f t="shared" si="21"/>
        <v>#N/A</v>
      </c>
      <c r="BP22" s="10">
        <f>_xlfn.XLOOKUP(A22,'Icyte Report'!A:A,'Icyte Report'!BY:BY)</f>
        <v>0</v>
      </c>
      <c r="BQ22" s="10" t="e">
        <f>_xlfn.XLOOKUP(A22,'United Smoothed Indirect Inelig'!A:A,'United Smoothed Indirect Inelig'!L:L)+_xlfn.XLOOKUP(A22,'United Smoothed Indirect Inelig'!A:A,'United Smoothed Indirect Inelig'!M:M) + _xlfn.XLOOKUP(A22,'United Smoothed Indirect Inelig'!A:A,'United Smoothed Indirect Inelig'!N:N)+_xlfn.XLOOKUP(A22,'United Smoothed Indirect Inelig'!A:A,'United Smoothed Indirect Inelig'!O:O)</f>
        <v>#N/A</v>
      </c>
      <c r="BR22" s="10" t="e">
        <f t="shared" si="22"/>
        <v>#N/A</v>
      </c>
      <c r="BS22" s="10">
        <f>_xlfn.XLOOKUP(A22,'Icyte Report'!A:A,'Icyte Report'!BZ:BZ)</f>
        <v>0</v>
      </c>
      <c r="BT22" s="10" t="str">
        <f>_xlfn.XLOOKUP(A22,'United MAMP All Components'!A:A,'United MAMP All Components'!AL:AL)</f>
        <v>0.00</v>
      </c>
      <c r="BU22" s="10">
        <f t="shared" si="23"/>
        <v>0</v>
      </c>
      <c r="BV22" s="26">
        <f>_xlfn.XLOOKUP(A22,'Icyte Report'!A:A,'Icyte Report'!CA:CA)</f>
        <v>0</v>
      </c>
      <c r="BW22" s="22" t="str">
        <f>_xlfn.XLOOKUP(A22,'United MAMP All Components'!A:A,'United MAMP All Components'!AM:AM)</f>
        <v>0.00</v>
      </c>
      <c r="BX22" s="10">
        <f t="shared" si="24"/>
        <v>0</v>
      </c>
      <c r="BY22" s="10">
        <f>_xlfn.XLOOKUP(A22,'Icyte Report'!A:A,'Icyte Report'!CD:CD)</f>
        <v>0</v>
      </c>
      <c r="BZ22" s="10" t="str">
        <f>_xlfn.XLOOKUP(A22,'United_Smoothed Price Concessio'!A:A,'United_Smoothed Price Concessio'!D:D)</f>
        <v>$0.00</v>
      </c>
      <c r="CA22" s="10">
        <f t="shared" si="25"/>
        <v>0</v>
      </c>
      <c r="CB22" s="10">
        <f>_xlfn.XLOOKUP(A22,'Icyte Report'!A:A,'Icyte Report'!CF:CF)</f>
        <v>0</v>
      </c>
      <c r="CC22" s="10" t="e">
        <f>_xlfn.XLOOKUP(A22,'United Smoothed Indirect Inelig'!A:A,'United Smoothed Indirect Inelig'!F:F)</f>
        <v>#N/A</v>
      </c>
      <c r="CD22" s="10" t="e">
        <f t="shared" si="26"/>
        <v>#N/A</v>
      </c>
      <c r="CE22" s="10">
        <f>_xlfn.XLOOKUP(A22,'Icyte Report'!A:A,'Icyte Report'!CL:CL)</f>
        <v>-372443044.62065572</v>
      </c>
      <c r="CF22" s="10" t="str">
        <f>_xlfn.XLOOKUP(A22,'United_Smoothed Price Concessio'!A:A,'United_Smoothed Price Concessio'!H:H)</f>
        <v>$0.00</v>
      </c>
      <c r="CG22" s="10">
        <f t="shared" si="27"/>
        <v>-372443044.62065572</v>
      </c>
      <c r="CH22" s="10">
        <f>_xlfn.XLOOKUP(A22,'Icyte Report'!A:A,'Icyte Report'!CY:CY)</f>
        <v>0</v>
      </c>
      <c r="CI22" s="10" t="str">
        <f>_xlfn.XLOOKUP(A22,'United_Smoothed Price Concessio'!A:A,'United_Smoothed Price Concessio'!C:C)</f>
        <v>$0.00</v>
      </c>
      <c r="CJ22" s="10">
        <f t="shared" si="28"/>
        <v>0</v>
      </c>
      <c r="CK22" s="10">
        <f>_xlfn.XLOOKUP(A22,'Icyte Report'!A:A,'Icyte Report'!CZ:CZ)</f>
        <v>0</v>
      </c>
      <c r="CL22" s="10" t="str">
        <f>_xlfn.XLOOKUP(A22,'United_Smoothed Price Concessio'!A:A,'United_Smoothed Price Concessio'!G:G)</f>
        <v>$0.00</v>
      </c>
      <c r="CM22" s="10">
        <f t="shared" si="29"/>
        <v>0</v>
      </c>
      <c r="CN22" s="13">
        <f>_xlfn.XLOOKUP(A22,'Icyte Report'!A:A,'Icyte Report'!DA:DA)</f>
        <v>0</v>
      </c>
      <c r="CO22" s="13" t="str">
        <f>_xlfn.XLOOKUP(A22,'United_Smoothed Price Concessio'!A:A,'United_Smoothed Price Concessio'!I:I)</f>
        <v>0.000000%</v>
      </c>
      <c r="CP22" s="10">
        <f t="shared" si="30"/>
        <v>0</v>
      </c>
      <c r="CQ22" s="10">
        <f>_xlfn.XLOOKUP(A22,'Icyte Report'!A:A,'Icyte Report'!DB:DB)</f>
        <v>0</v>
      </c>
      <c r="CR22" s="10" t="str">
        <f>_xlfn.XLOOKUP(A22,'United MAMP All Components'!A:A,'United MAMP All Components'!AX:AX)</f>
        <v>0.00</v>
      </c>
      <c r="CS22" s="10">
        <f t="shared" si="31"/>
        <v>0</v>
      </c>
      <c r="CT22" s="10">
        <f>_xlfn.XLOOKUP(A22,'Icyte Report'!A:A,'Icyte Report'!DC:DC)</f>
        <v>0</v>
      </c>
      <c r="CU22" s="10" t="str">
        <f>_xlfn.XLOOKUP(A22,'United MAMP All Components'!A:A,'United MAMP All Components'!BA:BA)</f>
        <v>0.00</v>
      </c>
      <c r="CV22" s="10">
        <f t="shared" si="32"/>
        <v>0</v>
      </c>
      <c r="CW22" s="10">
        <f>_xlfn.XLOOKUP(A22,'Icyte Report'!A:A,'Icyte Report'!DD:DD)</f>
        <v>0</v>
      </c>
      <c r="CX22" s="10" t="str">
        <f>_xlfn.XLOOKUP(A22,'United MAMP All Components'!A:A,'United MAMP All Components'!BD:BD)</f>
        <v>0.00</v>
      </c>
      <c r="CY22" s="10">
        <f t="shared" si="33"/>
        <v>0</v>
      </c>
      <c r="CZ22" s="10">
        <f>_xlfn.XLOOKUP(A22,'Icyte Report'!A:A,'Icyte Report'!DE:DE)</f>
        <v>0</v>
      </c>
      <c r="DA22" s="10" t="str">
        <f>_xlfn.XLOOKUP(A22,'United MAMP All Components'!A:A,'United MAMP All Components'!BE:BE)</f>
        <v>0.00</v>
      </c>
      <c r="DB22" s="10">
        <f t="shared" si="34"/>
        <v>0</v>
      </c>
      <c r="DC22" s="10">
        <f>_xlfn.XLOOKUP(A22,'Icyte Report'!A:A,'Icyte Report'!DI:DI)</f>
        <v>277.75700000000001</v>
      </c>
      <c r="DD22" s="10" t="str">
        <f>_xlfn.XLOOKUP(A22,'United MAMP All Components'!A:A,'United MAMP All Components'!BG:BG)</f>
        <v>277.757000</v>
      </c>
      <c r="DE22" s="10">
        <f t="shared" si="35"/>
        <v>0</v>
      </c>
    </row>
    <row r="23" spans="1:109" x14ac:dyDescent="0.35">
      <c r="A23" s="10" t="s">
        <v>176</v>
      </c>
      <c r="B23" s="10" t="s">
        <v>434</v>
      </c>
      <c r="C23" s="10">
        <f>_xlfn.XLOOKUP(A23,'Icyte Report'!A:A,'Icyte Report'!W:W)</f>
        <v>0</v>
      </c>
      <c r="D23" s="10" t="str">
        <f>_xlfn.XLOOKUP(A23,'United MAMP All Components'!A:A,'United MAMP All Components'!B:B)</f>
        <v>0.00</v>
      </c>
      <c r="E23" s="10">
        <f t="shared" si="0"/>
        <v>0</v>
      </c>
      <c r="F23" s="10">
        <f>_xlfn.XLOOKUP(A23,'Icyte Report'!A:A,'Icyte Report'!X:X)</f>
        <v>0</v>
      </c>
      <c r="G23" s="10" t="str">
        <f>_xlfn.XLOOKUP(A23,'United MAMP All Components'!A:A,'United MAMP All Components'!C:C)</f>
        <v>0.00</v>
      </c>
      <c r="H23" s="10">
        <f t="shared" si="1"/>
        <v>0</v>
      </c>
      <c r="I23" s="10">
        <f>_xlfn.XLOOKUP(A23,'Icyte Report'!A:A,'Icyte Report'!Y:Y)</f>
        <v>0</v>
      </c>
      <c r="J23" s="10" t="str">
        <f>_xlfn.XLOOKUP(A23,'United MAMP All Components'!A:A,'United MAMP All Components'!E:E)</f>
        <v>0.00</v>
      </c>
      <c r="K23" s="10">
        <f t="shared" si="2"/>
        <v>0</v>
      </c>
      <c r="L23" s="10">
        <f>_xlfn.XLOOKUP(A23,'Icyte Report'!A:A,'Icyte Report'!Z:Z)</f>
        <v>0</v>
      </c>
      <c r="M23" s="10" t="str">
        <f>_xlfn.XLOOKUP(A23,'United MAMP All Components'!A:A,'United MAMP All Components'!F:F)</f>
        <v>0.00</v>
      </c>
      <c r="N23" s="10">
        <f t="shared" si="3"/>
        <v>0</v>
      </c>
      <c r="O23" s="10">
        <f>_xlfn.XLOOKUP(A23,'Icyte Report'!A:A,'Icyte Report'!AA:AA)</f>
        <v>0</v>
      </c>
      <c r="P23" s="10" t="str">
        <f>_xlfn.XLOOKUP(A23,'United MAMP All Components'!A:A,'United MAMP All Components'!H:H)</f>
        <v>0.00</v>
      </c>
      <c r="Q23" s="10">
        <f t="shared" si="4"/>
        <v>0</v>
      </c>
      <c r="R23" s="10">
        <f>_xlfn.XLOOKUP(A23,'Icyte Report'!A:A,'Icyte Report'!AB:AB)</f>
        <v>0</v>
      </c>
      <c r="S23" s="10" t="str">
        <f>_xlfn.XLOOKUP(A23,'United MAMP All Components'!A:A,'United MAMP All Components'!I:I)</f>
        <v>0.00</v>
      </c>
      <c r="T23" s="10">
        <f t="shared" si="5"/>
        <v>0</v>
      </c>
      <c r="U23" s="10">
        <f>_xlfn.XLOOKUP(A23,'Icyte Report'!A:A,'Icyte Report'!AC:AC)</f>
        <v>0</v>
      </c>
      <c r="V23" s="10" t="str">
        <f>_xlfn.XLOOKUP(A23,'United MAMP All Components'!A:A,'United MAMP All Components'!K:K)</f>
        <v>0.00</v>
      </c>
      <c r="W23" s="10">
        <f t="shared" si="6"/>
        <v>0</v>
      </c>
      <c r="X23" s="10">
        <f>_xlfn.XLOOKUP(A23,'Icyte Report'!A:A,'Icyte Report'!AD:AD)</f>
        <v>0</v>
      </c>
      <c r="Y23" s="10" t="str">
        <f>_xlfn.XLOOKUP(A23,'United MAMP All Components'!A:A,'United MAMP All Components'!L:L)</f>
        <v>0.00</v>
      </c>
      <c r="Z23" s="10">
        <f t="shared" si="7"/>
        <v>0</v>
      </c>
      <c r="AA23" s="10">
        <f>_xlfn.XLOOKUP(A23,'Icyte Report'!A:A,'Icyte Report'!AE:AE)</f>
        <v>0</v>
      </c>
      <c r="AB23" s="10" t="str">
        <f>_xlfn.XLOOKUP(A23,'United MAMP All Components'!A:A,'United MAMP All Components'!N:N)</f>
        <v>0.00</v>
      </c>
      <c r="AC23" s="10">
        <f t="shared" si="8"/>
        <v>0</v>
      </c>
      <c r="AD23" s="10">
        <f>_xlfn.XLOOKUP(A23,'Icyte Report'!A:A,'Icyte Report'!AF:AF)</f>
        <v>0</v>
      </c>
      <c r="AE23" s="10" t="str">
        <f>_xlfn.XLOOKUP(A23,'United MAMP All Components'!A:A,'United MAMP All Components'!O:O)</f>
        <v>0.00</v>
      </c>
      <c r="AF23" s="10">
        <f t="shared" si="9"/>
        <v>0</v>
      </c>
      <c r="AG23" s="10">
        <f>_xlfn.XLOOKUP(A23,'Icyte Report'!A:A,'Icyte Report'!AG:AG)</f>
        <v>0</v>
      </c>
      <c r="AH23" s="10" t="str">
        <f>_xlfn.XLOOKUP(A23,'United MAMP All Components'!A:A,'United MAMP All Components'!Q:Q)</f>
        <v>0.00</v>
      </c>
      <c r="AI23" s="10">
        <f t="shared" si="10"/>
        <v>0</v>
      </c>
      <c r="AJ23" s="10">
        <f>_xlfn.XLOOKUP(A23,'Icyte Report'!A:A,'Icyte Report'!AH:AH)</f>
        <v>0</v>
      </c>
      <c r="AK23" s="10" t="str">
        <f>_xlfn.XLOOKUP(A23,'United MAMP All Components'!A:A,'United MAMP All Components'!R:R)</f>
        <v>0.00</v>
      </c>
      <c r="AL23" s="10">
        <f t="shared" si="11"/>
        <v>0</v>
      </c>
      <c r="AM23" s="10">
        <f>_xlfn.XLOOKUP(A23,'Icyte Report'!A:A,'Icyte Report'!AS:AS)</f>
        <v>0</v>
      </c>
      <c r="AN23" s="10" t="str">
        <f>_xlfn.XLOOKUP(A23,'United MAMP All Components'!A:A,'United MAMP All Components'!T:T)</f>
        <v>0.00</v>
      </c>
      <c r="AO23" s="10">
        <f t="shared" si="12"/>
        <v>0</v>
      </c>
      <c r="AP23" s="10">
        <f>_xlfn.XLOOKUP(A23,'Icyte Report'!A:A,'Icyte Report'!AT:AT)</f>
        <v>0</v>
      </c>
      <c r="AQ23" s="10" t="str">
        <f>_xlfn.XLOOKUP(A23,'United MAMP All Components'!A:A,'United MAMP All Components'!U:U)</f>
        <v>0.00</v>
      </c>
      <c r="AR23" s="10">
        <f t="shared" si="13"/>
        <v>0</v>
      </c>
      <c r="AS23" s="10">
        <f>_xlfn.XLOOKUP(A23,'Icyte Report'!A:A,'Icyte Report'!AU:AU)</f>
        <v>0</v>
      </c>
      <c r="AT23" s="10" t="str">
        <f>_xlfn.XLOOKUP(A23,'United MAMP All Components'!A:A,'United MAMP All Components'!AO:AO)</f>
        <v>0.00</v>
      </c>
      <c r="AU23" s="10">
        <f t="shared" si="14"/>
        <v>0</v>
      </c>
      <c r="AV23" s="10">
        <f>_xlfn.XLOOKUP(A23,'Icyte Report'!A:A,'Icyte Report'!AV:AV)</f>
        <v>0</v>
      </c>
      <c r="AW23" s="10" t="str">
        <f>_xlfn.XLOOKUP(A23,'United MAMP All Components'!A:A,'United MAMP All Components'!AP:AP)</f>
        <v>0.00</v>
      </c>
      <c r="AX23" s="10">
        <f t="shared" si="15"/>
        <v>0</v>
      </c>
      <c r="AY23" s="10">
        <f>_xlfn.XLOOKUP(A23,'Icyte Report'!A:A,'Icyte Report'!BH:BH)</f>
        <v>39700</v>
      </c>
      <c r="AZ23" s="10" t="e">
        <f>_xlfn.XLOOKUP(A23,'United Smoothed Indirect Inelig'!A:A,'United Smoothed Indirect Inelig'!D:D)</f>
        <v>#N/A</v>
      </c>
      <c r="BA23" s="10" t="e">
        <f t="shared" si="16"/>
        <v>#N/A</v>
      </c>
      <c r="BB23" s="10">
        <f>_xlfn.XLOOKUP(A23,'Icyte Report'!A:A,'Icyte Report'!BK:BK)</f>
        <v>1327900</v>
      </c>
      <c r="BC23" s="10" t="e">
        <f t="shared" si="17"/>
        <v>#N/A</v>
      </c>
      <c r="BD23" s="10">
        <f>_xlfn.XLOOKUP(A23,'Icyte Report'!A:A,'Icyte Report'!BN:BN)</f>
        <v>0</v>
      </c>
      <c r="BE23" s="10" t="e">
        <f>_xlfn.XLOOKUP(A23,'United Smoothed Indirect Inelig'!A:A,'United Smoothed Indirect Inelig'!C:C)</f>
        <v>#N/A</v>
      </c>
      <c r="BF23" s="10" t="e">
        <f t="shared" si="18"/>
        <v>#N/A</v>
      </c>
      <c r="BG23" s="10">
        <f>_xlfn.XLOOKUP(A23,'Icyte Report'!A:A,'Icyte Report'!BR:BR)</f>
        <v>0</v>
      </c>
      <c r="BH23" s="10" t="e">
        <f>_xlfn.XLOOKUP(A23,'United Smoothed Indirect Inelig'!A:A,'United Smoothed Indirect Inelig'!B:B)</f>
        <v>#N/A</v>
      </c>
      <c r="BI23" s="10" t="e">
        <f t="shared" si="19"/>
        <v>#N/A</v>
      </c>
      <c r="BJ23" s="10">
        <f>_xlfn.XLOOKUP(A23,'Icyte Report'!A:A,'Icyte Report'!BV:BV)</f>
        <v>0</v>
      </c>
      <c r="BK23" s="10" t="e">
        <f>_xlfn.XLOOKUP(A23,'United Smoothed Indirect Inelig'!A:A,'United Smoothed Indirect Inelig'!P:P)</f>
        <v>#N/A</v>
      </c>
      <c r="BL23" s="10" t="e">
        <f t="shared" si="20"/>
        <v>#N/A</v>
      </c>
      <c r="BM23" s="13">
        <f>_xlfn.XLOOKUP(A23,'Icyte Report'!A:A,'Icyte Report'!BW:BW)</f>
        <v>0</v>
      </c>
      <c r="BN23" s="13" t="e">
        <f>_xlfn.XLOOKUP(A23,'United Smoothed Indirect Inelig'!A:A,'United Smoothed Indirect Inelig'!G:G)+_xlfn.XLOOKUP(A23,'United Smoothed Indirect Inelig'!A:A,'United Smoothed Indirect Inelig'!H:H) + _xlfn.XLOOKUP(A23,'United Smoothed Indirect Inelig'!A:A,'United Smoothed Indirect Inelig'!I:I)+_xlfn.XLOOKUP(A23,'United Smoothed Indirect Inelig'!A:A,'United Smoothed Indirect Inelig'!J:J)</f>
        <v>#N/A</v>
      </c>
      <c r="BO23" s="18" t="e">
        <f t="shared" si="21"/>
        <v>#N/A</v>
      </c>
      <c r="BP23" s="10">
        <f>_xlfn.XLOOKUP(A23,'Icyte Report'!A:A,'Icyte Report'!BY:BY)</f>
        <v>0</v>
      </c>
      <c r="BQ23" s="10" t="e">
        <f>_xlfn.XLOOKUP(A23,'United Smoothed Indirect Inelig'!A:A,'United Smoothed Indirect Inelig'!L:L)+_xlfn.XLOOKUP(A23,'United Smoothed Indirect Inelig'!A:A,'United Smoothed Indirect Inelig'!M:M) + _xlfn.XLOOKUP(A23,'United Smoothed Indirect Inelig'!A:A,'United Smoothed Indirect Inelig'!N:N)+_xlfn.XLOOKUP(A23,'United Smoothed Indirect Inelig'!A:A,'United Smoothed Indirect Inelig'!O:O)</f>
        <v>#N/A</v>
      </c>
      <c r="BR23" s="10" t="e">
        <f t="shared" si="22"/>
        <v>#N/A</v>
      </c>
      <c r="BS23" s="10">
        <f>_xlfn.XLOOKUP(A23,'Icyte Report'!A:A,'Icyte Report'!BZ:BZ)</f>
        <v>0</v>
      </c>
      <c r="BT23" s="10" t="str">
        <f>_xlfn.XLOOKUP(A23,'United MAMP All Components'!A:A,'United MAMP All Components'!AL:AL)</f>
        <v>0.00</v>
      </c>
      <c r="BU23" s="10">
        <f t="shared" si="23"/>
        <v>0</v>
      </c>
      <c r="BV23" s="26">
        <f>_xlfn.XLOOKUP(A23,'Icyte Report'!A:A,'Icyte Report'!CA:CA)</f>
        <v>0</v>
      </c>
      <c r="BW23" s="22" t="str">
        <f>_xlfn.XLOOKUP(A23,'United MAMP All Components'!A:A,'United MAMP All Components'!AM:AM)</f>
        <v>0.00</v>
      </c>
      <c r="BX23" s="10">
        <f t="shared" si="24"/>
        <v>0</v>
      </c>
      <c r="BY23" s="10">
        <f>_xlfn.XLOOKUP(A23,'Icyte Report'!A:A,'Icyte Report'!CD:CD)</f>
        <v>0</v>
      </c>
      <c r="BZ23" s="10" t="str">
        <f>_xlfn.XLOOKUP(A23,'United_Smoothed Price Concessio'!A:A,'United_Smoothed Price Concessio'!D:D)</f>
        <v>$0.00</v>
      </c>
      <c r="CA23" s="10">
        <f t="shared" si="25"/>
        <v>0</v>
      </c>
      <c r="CB23" s="10">
        <f>_xlfn.XLOOKUP(A23,'Icyte Report'!A:A,'Icyte Report'!CF:CF)</f>
        <v>0</v>
      </c>
      <c r="CC23" s="10" t="e">
        <f>_xlfn.XLOOKUP(A23,'United Smoothed Indirect Inelig'!A:A,'United Smoothed Indirect Inelig'!F:F)</f>
        <v>#N/A</v>
      </c>
      <c r="CD23" s="10" t="e">
        <f t="shared" si="26"/>
        <v>#N/A</v>
      </c>
      <c r="CE23" s="10">
        <f>_xlfn.XLOOKUP(A23,'Icyte Report'!A:A,'Icyte Report'!CL:CL)</f>
        <v>-372443216.13114762</v>
      </c>
      <c r="CF23" s="10" t="str">
        <f>_xlfn.XLOOKUP(A23,'United_Smoothed Price Concessio'!A:A,'United_Smoothed Price Concessio'!H:H)</f>
        <v>$0.00</v>
      </c>
      <c r="CG23" s="10">
        <f t="shared" si="27"/>
        <v>-372443216.13114762</v>
      </c>
      <c r="CH23" s="10">
        <f>_xlfn.XLOOKUP(A23,'Icyte Report'!A:A,'Icyte Report'!CY:CY)</f>
        <v>0</v>
      </c>
      <c r="CI23" s="10" t="str">
        <f>_xlfn.XLOOKUP(A23,'United_Smoothed Price Concessio'!A:A,'United_Smoothed Price Concessio'!C:C)</f>
        <v>$0.00</v>
      </c>
      <c r="CJ23" s="10">
        <f t="shared" si="28"/>
        <v>0</v>
      </c>
      <c r="CK23" s="10">
        <f>_xlfn.XLOOKUP(A23,'Icyte Report'!A:A,'Icyte Report'!CZ:CZ)</f>
        <v>0</v>
      </c>
      <c r="CL23" s="10" t="str">
        <f>_xlfn.XLOOKUP(A23,'United_Smoothed Price Concessio'!A:A,'United_Smoothed Price Concessio'!G:G)</f>
        <v>$0.00</v>
      </c>
      <c r="CM23" s="10">
        <f t="shared" si="29"/>
        <v>0</v>
      </c>
      <c r="CN23" s="13">
        <f>_xlfn.XLOOKUP(A23,'Icyte Report'!A:A,'Icyte Report'!DA:DA)</f>
        <v>0</v>
      </c>
      <c r="CO23" s="13" t="str">
        <f>_xlfn.XLOOKUP(A23,'United_Smoothed Price Concessio'!A:A,'United_Smoothed Price Concessio'!I:I)</f>
        <v>0.000000%</v>
      </c>
      <c r="CP23" s="10">
        <f t="shared" si="30"/>
        <v>0</v>
      </c>
      <c r="CQ23" s="10">
        <f>_xlfn.XLOOKUP(A23,'Icyte Report'!A:A,'Icyte Report'!DB:DB)</f>
        <v>0</v>
      </c>
      <c r="CR23" s="10" t="str">
        <f>_xlfn.XLOOKUP(A23,'United MAMP All Components'!A:A,'United MAMP All Components'!AX:AX)</f>
        <v>0.00</v>
      </c>
      <c r="CS23" s="10">
        <f t="shared" si="31"/>
        <v>0</v>
      </c>
      <c r="CT23" s="10">
        <f>_xlfn.XLOOKUP(A23,'Icyte Report'!A:A,'Icyte Report'!DC:DC)</f>
        <v>0</v>
      </c>
      <c r="CU23" s="10" t="str">
        <f>_xlfn.XLOOKUP(A23,'United MAMP All Components'!A:A,'United MAMP All Components'!BA:BA)</f>
        <v>0.00</v>
      </c>
      <c r="CV23" s="10">
        <f t="shared" si="32"/>
        <v>0</v>
      </c>
      <c r="CW23" s="10">
        <f>_xlfn.XLOOKUP(A23,'Icyte Report'!A:A,'Icyte Report'!DD:DD)</f>
        <v>0</v>
      </c>
      <c r="CX23" s="10" t="str">
        <f>_xlfn.XLOOKUP(A23,'United MAMP All Components'!A:A,'United MAMP All Components'!BD:BD)</f>
        <v>0.00</v>
      </c>
      <c r="CY23" s="10">
        <f t="shared" si="33"/>
        <v>0</v>
      </c>
      <c r="CZ23" s="10">
        <f>_xlfn.XLOOKUP(A23,'Icyte Report'!A:A,'Icyte Report'!DE:DE)</f>
        <v>0</v>
      </c>
      <c r="DA23" s="10" t="str">
        <f>_xlfn.XLOOKUP(A23,'United MAMP All Components'!A:A,'United MAMP All Components'!BE:BE)</f>
        <v>0.00</v>
      </c>
      <c r="DB23" s="10">
        <f t="shared" si="34"/>
        <v>0</v>
      </c>
      <c r="DC23" s="10">
        <f>_xlfn.XLOOKUP(A23,'Icyte Report'!A:A,'Icyte Report'!DI:DI)</f>
        <v>277.75700000000001</v>
      </c>
      <c r="DD23" s="10" t="str">
        <f>_xlfn.XLOOKUP(A23,'United MAMP All Components'!A:A,'United MAMP All Components'!BG:BG)</f>
        <v>277.757000</v>
      </c>
      <c r="DE23" s="10">
        <f t="shared" si="35"/>
        <v>0</v>
      </c>
    </row>
    <row r="24" spans="1:109" x14ac:dyDescent="0.35">
      <c r="A24" s="10" t="s">
        <v>197</v>
      </c>
      <c r="B24" s="10" t="s">
        <v>435</v>
      </c>
      <c r="C24" s="10">
        <f>_xlfn.XLOOKUP(A24,'Icyte Report'!A:A,'Icyte Report'!W:W)</f>
        <v>4432710</v>
      </c>
      <c r="D24" s="10" t="str">
        <f>_xlfn.XLOOKUP(A24,'United MAMP All Components'!A:A,'United MAMP All Components'!B:B)</f>
        <v>4,441,050.00</v>
      </c>
      <c r="E24" s="10">
        <f t="shared" si="0"/>
        <v>-8340</v>
      </c>
      <c r="F24" s="10">
        <f>_xlfn.XLOOKUP(A24,'Icyte Report'!A:A,'Icyte Report'!X:X)</f>
        <v>81060</v>
      </c>
      <c r="G24" s="10" t="str">
        <f>_xlfn.XLOOKUP(A24,'United MAMP All Components'!A:A,'United MAMP All Components'!C:C)</f>
        <v>84,120.00</v>
      </c>
      <c r="H24" s="10">
        <f t="shared" si="1"/>
        <v>-3060</v>
      </c>
      <c r="I24" s="10">
        <f>_xlfn.XLOOKUP(A24,'Icyte Report'!A:A,'Icyte Report'!Y:Y)</f>
        <v>0</v>
      </c>
      <c r="J24" s="10" t="str">
        <f>_xlfn.XLOOKUP(A24,'United MAMP All Components'!A:A,'United MAMP All Components'!E:E)</f>
        <v>0.00</v>
      </c>
      <c r="K24" s="10">
        <f t="shared" si="2"/>
        <v>0</v>
      </c>
      <c r="L24" s="10">
        <f>_xlfn.XLOOKUP(A24,'Icyte Report'!A:A,'Icyte Report'!Z:Z)</f>
        <v>0</v>
      </c>
      <c r="M24" s="10" t="str">
        <f>_xlfn.XLOOKUP(A24,'United MAMP All Components'!A:A,'United MAMP All Components'!F:F)</f>
        <v>0.00</v>
      </c>
      <c r="N24" s="10">
        <f t="shared" si="3"/>
        <v>0</v>
      </c>
      <c r="O24" s="10">
        <f>_xlfn.XLOOKUP(A24,'Icyte Report'!A:A,'Icyte Report'!AA:AA)</f>
        <v>8340</v>
      </c>
      <c r="P24" s="10" t="str">
        <f>_xlfn.XLOOKUP(A24,'United MAMP All Components'!A:A,'United MAMP All Components'!H:H)</f>
        <v>0.00</v>
      </c>
      <c r="Q24" s="10">
        <f t="shared" si="4"/>
        <v>8340</v>
      </c>
      <c r="R24" s="10">
        <f>_xlfn.XLOOKUP(A24,'Icyte Report'!A:A,'Icyte Report'!AB:AB)</f>
        <v>120</v>
      </c>
      <c r="S24" s="10" t="str">
        <f>_xlfn.XLOOKUP(A24,'United MAMP All Components'!A:A,'United MAMP All Components'!I:I)</f>
        <v>0.00</v>
      </c>
      <c r="T24" s="10">
        <f t="shared" si="5"/>
        <v>120</v>
      </c>
      <c r="U24" s="10">
        <f>_xlfn.XLOOKUP(A24,'Icyte Report'!A:A,'Icyte Report'!AC:AC)</f>
        <v>0</v>
      </c>
      <c r="V24" s="10" t="str">
        <f>_xlfn.XLOOKUP(A24,'United MAMP All Components'!A:A,'United MAMP All Components'!K:K)</f>
        <v>0.00</v>
      </c>
      <c r="W24" s="10">
        <f t="shared" si="6"/>
        <v>0</v>
      </c>
      <c r="X24" s="10">
        <f>_xlfn.XLOOKUP(A24,'Icyte Report'!A:A,'Icyte Report'!AD:AD)</f>
        <v>0</v>
      </c>
      <c r="Y24" s="10" t="str">
        <f>_xlfn.XLOOKUP(A24,'United MAMP All Components'!A:A,'United MAMP All Components'!L:L)</f>
        <v>0.00</v>
      </c>
      <c r="Z24" s="10">
        <f t="shared" si="7"/>
        <v>0</v>
      </c>
      <c r="AA24" s="10">
        <f>_xlfn.XLOOKUP(A24,'Icyte Report'!A:A,'Icyte Report'!AE:AE)</f>
        <v>0</v>
      </c>
      <c r="AB24" s="10" t="str">
        <f>_xlfn.XLOOKUP(A24,'United MAMP All Components'!A:A,'United MAMP All Components'!N:N)</f>
        <v>0.00</v>
      </c>
      <c r="AC24" s="10">
        <f t="shared" si="8"/>
        <v>0</v>
      </c>
      <c r="AD24" s="10">
        <f>_xlfn.XLOOKUP(A24,'Icyte Report'!A:A,'Icyte Report'!AF:AF)</f>
        <v>17280</v>
      </c>
      <c r="AE24" s="10" t="str">
        <f>_xlfn.XLOOKUP(A24,'United MAMP All Components'!A:A,'United MAMP All Components'!O:O)</f>
        <v>20,220.00</v>
      </c>
      <c r="AF24" s="10">
        <f t="shared" si="9"/>
        <v>-2940</v>
      </c>
      <c r="AG24" s="10">
        <f>_xlfn.XLOOKUP(A24,'Icyte Report'!A:A,'Icyte Report'!AG:AG)</f>
        <v>0</v>
      </c>
      <c r="AH24" s="10" t="str">
        <f>_xlfn.XLOOKUP(A24,'United MAMP All Components'!A:A,'United MAMP All Components'!Q:Q)</f>
        <v>0.00</v>
      </c>
      <c r="AI24" s="10">
        <f t="shared" si="10"/>
        <v>0</v>
      </c>
      <c r="AJ24" s="10">
        <f>_xlfn.XLOOKUP(A24,'Icyte Report'!A:A,'Icyte Report'!AH:AH)</f>
        <v>0</v>
      </c>
      <c r="AK24" s="10" t="str">
        <f>_xlfn.XLOOKUP(A24,'United MAMP All Components'!A:A,'United MAMP All Components'!R:R)</f>
        <v>0.00</v>
      </c>
      <c r="AL24" s="10">
        <f t="shared" si="11"/>
        <v>0</v>
      </c>
      <c r="AM24" s="10">
        <f>_xlfn.XLOOKUP(A24,'Icyte Report'!A:A,'Icyte Report'!AS:AS)</f>
        <v>4424370</v>
      </c>
      <c r="AN24" s="10" t="str">
        <f>_xlfn.XLOOKUP(A24,'United MAMP All Components'!A:A,'United MAMP All Components'!T:T)</f>
        <v>4,441,050.00</v>
      </c>
      <c r="AO24" s="10">
        <f t="shared" si="12"/>
        <v>-16680</v>
      </c>
      <c r="AP24" s="10">
        <f>_xlfn.XLOOKUP(A24,'Icyte Report'!A:A,'Icyte Report'!AT:AT)</f>
        <v>63660</v>
      </c>
      <c r="AQ24" s="10" t="str">
        <f>_xlfn.XLOOKUP(A24,'United MAMP All Components'!A:A,'United MAMP All Components'!U:U)</f>
        <v>63,900.00</v>
      </c>
      <c r="AR24" s="10">
        <f t="shared" si="13"/>
        <v>-240</v>
      </c>
      <c r="AS24" s="10">
        <f>_xlfn.XLOOKUP(A24,'Icyte Report'!A:A,'Icyte Report'!AU:AU)</f>
        <v>0</v>
      </c>
      <c r="AT24" s="10" t="str">
        <f>_xlfn.XLOOKUP(A24,'United MAMP All Components'!A:A,'United MAMP All Components'!AO:AO)</f>
        <v>0.00</v>
      </c>
      <c r="AU24" s="10">
        <f t="shared" si="14"/>
        <v>0</v>
      </c>
      <c r="AV24" s="10">
        <f>_xlfn.XLOOKUP(A24,'Icyte Report'!A:A,'Icyte Report'!AV:AV)</f>
        <v>0</v>
      </c>
      <c r="AW24" s="10" t="str">
        <f>_xlfn.XLOOKUP(A24,'United MAMP All Components'!A:A,'United MAMP All Components'!AP:AP)</f>
        <v>0.00</v>
      </c>
      <c r="AX24" s="10">
        <f t="shared" si="15"/>
        <v>0</v>
      </c>
      <c r="AY24" s="10">
        <f>_xlfn.XLOOKUP(A24,'Icyte Report'!A:A,'Icyte Report'!BH:BH)</f>
        <v>193440</v>
      </c>
      <c r="AZ24" s="10" t="e">
        <f>_xlfn.XLOOKUP(A24,'United Smoothed Indirect Inelig'!A:A,'United Smoothed Indirect Inelig'!D:D)</f>
        <v>#N/A</v>
      </c>
      <c r="BA24" s="10" t="e">
        <f t="shared" si="16"/>
        <v>#N/A</v>
      </c>
      <c r="BB24" s="10">
        <f>_xlfn.XLOOKUP(A24,'Icyte Report'!A:A,'Icyte Report'!BK:BK)</f>
        <v>16260</v>
      </c>
      <c r="BC24" s="10" t="e">
        <f t="shared" si="17"/>
        <v>#N/A</v>
      </c>
      <c r="BD24" s="10">
        <f>_xlfn.XLOOKUP(A24,'Icyte Report'!A:A,'Icyte Report'!BN:BN)</f>
        <v>0</v>
      </c>
      <c r="BE24" s="10" t="e">
        <f>_xlfn.XLOOKUP(A24,'United Smoothed Indirect Inelig'!A:A,'United Smoothed Indirect Inelig'!C:C)</f>
        <v>#N/A</v>
      </c>
      <c r="BF24" s="10" t="e">
        <f t="shared" si="18"/>
        <v>#N/A</v>
      </c>
      <c r="BG24" s="10">
        <f>_xlfn.XLOOKUP(A24,'Icyte Report'!A:A,'Icyte Report'!BR:BR)</f>
        <v>0</v>
      </c>
      <c r="BH24" s="10" t="e">
        <f>_xlfn.XLOOKUP(A24,'United Smoothed Indirect Inelig'!A:A,'United Smoothed Indirect Inelig'!B:B)</f>
        <v>#N/A</v>
      </c>
      <c r="BI24" s="10" t="e">
        <f t="shared" si="19"/>
        <v>#N/A</v>
      </c>
      <c r="BJ24" s="10">
        <f>_xlfn.XLOOKUP(A24,'Icyte Report'!A:A,'Icyte Report'!BV:BV)</f>
        <v>69.5</v>
      </c>
      <c r="BK24" s="10" t="e">
        <f>_xlfn.XLOOKUP(A24,'United Smoothed Indirect Inelig'!A:A,'United Smoothed Indirect Inelig'!P:P)</f>
        <v>#N/A</v>
      </c>
      <c r="BL24" s="10" t="e">
        <f t="shared" si="20"/>
        <v>#N/A</v>
      </c>
      <c r="BM24" s="13">
        <f>_xlfn.XLOOKUP(A24,'Icyte Report'!A:A,'Icyte Report'!BW:BW)</f>
        <v>0.28190030650105002</v>
      </c>
      <c r="BN24" s="13" t="e">
        <f>_xlfn.XLOOKUP(A24,'United Smoothed Indirect Inelig'!A:A,'United Smoothed Indirect Inelig'!G:G)+_xlfn.XLOOKUP(A24,'United Smoothed Indirect Inelig'!A:A,'United Smoothed Indirect Inelig'!H:H) + _xlfn.XLOOKUP(A24,'United Smoothed Indirect Inelig'!A:A,'United Smoothed Indirect Inelig'!I:I)+_xlfn.XLOOKUP(A24,'United Smoothed Indirect Inelig'!A:A,'United Smoothed Indirect Inelig'!J:J)</f>
        <v>#N/A</v>
      </c>
      <c r="BO24" s="18" t="e">
        <f t="shared" si="21"/>
        <v>#N/A</v>
      </c>
      <c r="BP24" s="10">
        <f>_xlfn.XLOOKUP(A24,'Icyte Report'!A:A,'Icyte Report'!BY:BY)</f>
        <v>17945.773511856751</v>
      </c>
      <c r="BQ24" s="10" t="e">
        <f>_xlfn.XLOOKUP(A24,'United Smoothed Indirect Inelig'!A:A,'United Smoothed Indirect Inelig'!L:L)+_xlfn.XLOOKUP(A24,'United Smoothed Indirect Inelig'!A:A,'United Smoothed Indirect Inelig'!M:M) + _xlfn.XLOOKUP(A24,'United Smoothed Indirect Inelig'!A:A,'United Smoothed Indirect Inelig'!N:N)+_xlfn.XLOOKUP(A24,'United Smoothed Indirect Inelig'!A:A,'United Smoothed Indirect Inelig'!O:O)</f>
        <v>#N/A</v>
      </c>
      <c r="BR24" s="10" t="e">
        <f t="shared" si="22"/>
        <v>#N/A</v>
      </c>
      <c r="BS24" s="10">
        <f>_xlfn.XLOOKUP(A24,'Icyte Report'!A:A,'Icyte Report'!BZ:BZ)</f>
        <v>3177138.7409259561</v>
      </c>
      <c r="BT24" s="10" t="str">
        <f>_xlfn.XLOOKUP(A24,'United MAMP All Components'!A:A,'United MAMP All Components'!AL:AL)</f>
        <v>3,260,749.89</v>
      </c>
      <c r="BU24" s="10">
        <f t="shared" si="23"/>
        <v>-83611.149074044079</v>
      </c>
      <c r="BV24" s="26">
        <f>_xlfn.XLOOKUP(A24,'Icyte Report'!A:A,'Icyte Report'!CA:CA)</f>
        <v>45714.226488143249</v>
      </c>
      <c r="BW24" s="22" t="str">
        <f>_xlfn.XLOOKUP(A24,'United MAMP All Components'!A:A,'United MAMP All Components'!AM:AM)</f>
        <v>46,917.26</v>
      </c>
      <c r="BX24" s="10">
        <f t="shared" si="24"/>
        <v>-1203.0335118567527</v>
      </c>
      <c r="BY24" s="10">
        <f>_xlfn.XLOOKUP(A24,'Icyte Report'!A:A,'Icyte Report'!CD:CD)</f>
        <v>0</v>
      </c>
      <c r="BZ24" s="10" t="str">
        <f>_xlfn.XLOOKUP(A24,'United_Smoothed Price Concessio'!A:A,'United_Smoothed Price Concessio'!D:D)</f>
        <v>$0.00</v>
      </c>
      <c r="CA24" s="10">
        <f t="shared" si="25"/>
        <v>0</v>
      </c>
      <c r="CB24" s="10">
        <f>_xlfn.XLOOKUP(A24,'Icyte Report'!A:A,'Icyte Report'!CF:CF)</f>
        <v>743880</v>
      </c>
      <c r="CC24" s="10" t="e">
        <f>_xlfn.XLOOKUP(A24,'United Smoothed Indirect Inelig'!A:A,'United Smoothed Indirect Inelig'!F:F)</f>
        <v>#N/A</v>
      </c>
      <c r="CD24" s="10" t="e">
        <f t="shared" si="26"/>
        <v>#N/A</v>
      </c>
      <c r="CE24" s="10">
        <f>_xlfn.XLOOKUP(A24,'Icyte Report'!A:A,'Icyte Report'!CL:CL)</f>
        <v>37125510</v>
      </c>
      <c r="CF24" s="10" t="str">
        <f>_xlfn.XLOOKUP(A24,'United_Smoothed Price Concessio'!A:A,'United_Smoothed Price Concessio'!H:H)</f>
        <v>$37,809,390.00</v>
      </c>
      <c r="CG24" s="10">
        <f t="shared" si="27"/>
        <v>-683880</v>
      </c>
      <c r="CH24" s="10">
        <f>_xlfn.XLOOKUP(A24,'Icyte Report'!A:A,'Icyte Report'!CY:CY)</f>
        <v>0</v>
      </c>
      <c r="CI24" s="10" t="str">
        <f>_xlfn.XLOOKUP(A24,'United_Smoothed Price Concessio'!A:A,'United_Smoothed Price Concessio'!C:C)</f>
        <v>$0.00</v>
      </c>
      <c r="CJ24" s="10">
        <f t="shared" si="28"/>
        <v>0</v>
      </c>
      <c r="CK24" s="10">
        <f>_xlfn.XLOOKUP(A24,'Icyte Report'!A:A,'Icyte Report'!CZ:CZ)</f>
        <v>0</v>
      </c>
      <c r="CL24" s="10" t="str">
        <f>_xlfn.XLOOKUP(A24,'United_Smoothed Price Concessio'!A:A,'United_Smoothed Price Concessio'!G:G)</f>
        <v>$0.00</v>
      </c>
      <c r="CM24" s="10">
        <f t="shared" si="29"/>
        <v>0</v>
      </c>
      <c r="CN24" s="13">
        <f>_xlfn.XLOOKUP(A24,'Icyte Report'!A:A,'Icyte Report'!DA:DA)</f>
        <v>0</v>
      </c>
      <c r="CO24" s="13" t="str">
        <f>_xlfn.XLOOKUP(A24,'United_Smoothed Price Concessio'!A:A,'United_Smoothed Price Concessio'!I:I)</f>
        <v>0.000000%</v>
      </c>
      <c r="CP24" s="10">
        <f t="shared" si="30"/>
        <v>0</v>
      </c>
      <c r="CQ24" s="10">
        <f>_xlfn.XLOOKUP(A24,'Icyte Report'!A:A,'Icyte Report'!DB:DB)</f>
        <v>0</v>
      </c>
      <c r="CR24" s="10" t="str">
        <f>_xlfn.XLOOKUP(A24,'United MAMP All Components'!A:A,'United MAMP All Components'!AX:AX)</f>
        <v>0.00</v>
      </c>
      <c r="CS24" s="10">
        <f t="shared" si="31"/>
        <v>0</v>
      </c>
      <c r="CT24" s="10">
        <f>_xlfn.XLOOKUP(A24,'Icyte Report'!A:A,'Icyte Report'!DC:DC)</f>
        <v>63542.774818519123</v>
      </c>
      <c r="CU24" s="10" t="str">
        <f>_xlfn.XLOOKUP(A24,'United MAMP All Components'!A:A,'United MAMP All Components'!BA:BA)</f>
        <v>0.00</v>
      </c>
      <c r="CV24" s="10">
        <f t="shared" si="32"/>
        <v>63542.774818519123</v>
      </c>
      <c r="CW24" s="10">
        <f>_xlfn.XLOOKUP(A24,'Icyte Report'!A:A,'Icyte Report'!DD:DD)</f>
        <v>3113595.966107436</v>
      </c>
      <c r="CX24" s="10" t="str">
        <f>_xlfn.XLOOKUP(A24,'United MAMP All Components'!A:A,'United MAMP All Components'!BD:BD)</f>
        <v>3,260,749.89</v>
      </c>
      <c r="CY24" s="10">
        <f t="shared" si="33"/>
        <v>-147153.92389256414</v>
      </c>
      <c r="CZ24" s="10">
        <f>_xlfn.XLOOKUP(A24,'Icyte Report'!A:A,'Icyte Report'!DE:DE)</f>
        <v>45714.226488143249</v>
      </c>
      <c r="DA24" s="10" t="str">
        <f>_xlfn.XLOOKUP(A24,'United MAMP All Components'!A:A,'United MAMP All Components'!BE:BE)</f>
        <v>46,917.26</v>
      </c>
      <c r="DB24" s="10">
        <f t="shared" si="34"/>
        <v>-1203.0335118567527</v>
      </c>
      <c r="DC24" s="10">
        <f>_xlfn.XLOOKUP(A24,'Icyte Report'!A:A,'Icyte Report'!DI:DI)</f>
        <v>68.11</v>
      </c>
      <c r="DD24" s="10" t="str">
        <f>_xlfn.XLOOKUP(A24,'United MAMP All Components'!A:A,'United MAMP All Components'!BG:BG)</f>
        <v>69.500000</v>
      </c>
      <c r="DE24" s="10">
        <f t="shared" si="35"/>
        <v>-1.3900000000000006</v>
      </c>
    </row>
    <row r="25" spans="1:109" x14ac:dyDescent="0.35">
      <c r="A25" s="10" t="s">
        <v>212</v>
      </c>
      <c r="B25" s="10" t="s">
        <v>436</v>
      </c>
      <c r="C25" s="10">
        <f>_xlfn.XLOOKUP(A25,'Icyte Report'!A:A,'Icyte Report'!W:W)</f>
        <v>10352281.5</v>
      </c>
      <c r="D25" s="10" t="str">
        <f>_xlfn.XLOOKUP(A25,'United MAMP All Components'!A:A,'United MAMP All Components'!B:B)</f>
        <v>14,033,092.70</v>
      </c>
      <c r="E25" s="10">
        <f t="shared" si="0"/>
        <v>-3680811.1999999993</v>
      </c>
      <c r="F25" s="10">
        <f>_xlfn.XLOOKUP(A25,'Icyte Report'!A:A,'Icyte Report'!X:X)</f>
        <v>470</v>
      </c>
      <c r="G25" s="10" t="str">
        <f>_xlfn.XLOOKUP(A25,'United MAMP All Components'!A:A,'United MAMP All Components'!C:C)</f>
        <v>690.00</v>
      </c>
      <c r="H25" s="10">
        <f t="shared" si="1"/>
        <v>-220</v>
      </c>
      <c r="I25" s="10">
        <f>_xlfn.XLOOKUP(A25,'Icyte Report'!A:A,'Icyte Report'!Y:Y)</f>
        <v>0</v>
      </c>
      <c r="J25" s="10" t="str">
        <f>_xlfn.XLOOKUP(A25,'United MAMP All Components'!A:A,'United MAMP All Components'!E:E)</f>
        <v>0.00</v>
      </c>
      <c r="K25" s="10">
        <f t="shared" si="2"/>
        <v>0</v>
      </c>
      <c r="L25" s="10">
        <f>_xlfn.XLOOKUP(A25,'Icyte Report'!A:A,'Icyte Report'!Z:Z)</f>
        <v>0</v>
      </c>
      <c r="M25" s="10" t="str">
        <f>_xlfn.XLOOKUP(A25,'United MAMP All Components'!A:A,'United MAMP All Components'!F:F)</f>
        <v>0.00</v>
      </c>
      <c r="N25" s="10">
        <f t="shared" si="3"/>
        <v>0</v>
      </c>
      <c r="O25" s="10">
        <f>_xlfn.XLOOKUP(A25,'Icyte Report'!A:A,'Icyte Report'!AA:AA)</f>
        <v>0</v>
      </c>
      <c r="P25" s="10" t="str">
        <f>_xlfn.XLOOKUP(A25,'United MAMP All Components'!A:A,'United MAMP All Components'!H:H)</f>
        <v>0.00</v>
      </c>
      <c r="Q25" s="10">
        <f t="shared" si="4"/>
        <v>0</v>
      </c>
      <c r="R25" s="10">
        <f>_xlfn.XLOOKUP(A25,'Icyte Report'!A:A,'Icyte Report'!AB:AB)</f>
        <v>0</v>
      </c>
      <c r="S25" s="10" t="str">
        <f>_xlfn.XLOOKUP(A25,'United MAMP All Components'!A:A,'United MAMP All Components'!I:I)</f>
        <v>0.00</v>
      </c>
      <c r="T25" s="10">
        <f t="shared" si="5"/>
        <v>0</v>
      </c>
      <c r="U25" s="10">
        <f>_xlfn.XLOOKUP(A25,'Icyte Report'!A:A,'Icyte Report'!AC:AC)</f>
        <v>0</v>
      </c>
      <c r="V25" s="10" t="str">
        <f>_xlfn.XLOOKUP(A25,'United MAMP All Components'!A:A,'United MAMP All Components'!K:K)</f>
        <v>0.00</v>
      </c>
      <c r="W25" s="10">
        <f t="shared" si="6"/>
        <v>0</v>
      </c>
      <c r="X25" s="10">
        <f>_xlfn.XLOOKUP(A25,'Icyte Report'!A:A,'Icyte Report'!AD:AD)</f>
        <v>0</v>
      </c>
      <c r="Y25" s="10" t="str">
        <f>_xlfn.XLOOKUP(A25,'United MAMP All Components'!A:A,'United MAMP All Components'!L:L)</f>
        <v>0.00</v>
      </c>
      <c r="Z25" s="10">
        <f t="shared" si="7"/>
        <v>0</v>
      </c>
      <c r="AA25" s="10">
        <f>_xlfn.XLOOKUP(A25,'Icyte Report'!A:A,'Icyte Report'!AE:AE)</f>
        <v>0</v>
      </c>
      <c r="AB25" s="10" t="str">
        <f>_xlfn.XLOOKUP(A25,'United MAMP All Components'!A:A,'United MAMP All Components'!N:N)</f>
        <v>0.00</v>
      </c>
      <c r="AC25" s="10">
        <f t="shared" si="8"/>
        <v>0</v>
      </c>
      <c r="AD25" s="10">
        <f>_xlfn.XLOOKUP(A25,'Icyte Report'!A:A,'Icyte Report'!AF:AF)</f>
        <v>20</v>
      </c>
      <c r="AE25" s="10" t="str">
        <f>_xlfn.XLOOKUP(A25,'United MAMP All Components'!A:A,'United MAMP All Components'!O:O)</f>
        <v>80.00</v>
      </c>
      <c r="AF25" s="10">
        <f t="shared" si="9"/>
        <v>-60</v>
      </c>
      <c r="AG25" s="10">
        <f>_xlfn.XLOOKUP(A25,'Icyte Report'!A:A,'Icyte Report'!AG:AG)</f>
        <v>0</v>
      </c>
      <c r="AH25" s="10" t="str">
        <f>_xlfn.XLOOKUP(A25,'United MAMP All Components'!A:A,'United MAMP All Components'!Q:Q)</f>
        <v>0.00</v>
      </c>
      <c r="AI25" s="10">
        <f t="shared" si="10"/>
        <v>0</v>
      </c>
      <c r="AJ25" s="10">
        <f>_xlfn.XLOOKUP(A25,'Icyte Report'!A:A,'Icyte Report'!AH:AH)</f>
        <v>0</v>
      </c>
      <c r="AK25" s="10" t="str">
        <f>_xlfn.XLOOKUP(A25,'United MAMP All Components'!A:A,'United MAMP All Components'!R:R)</f>
        <v>0.00</v>
      </c>
      <c r="AL25" s="10">
        <f t="shared" si="11"/>
        <v>0</v>
      </c>
      <c r="AM25" s="10">
        <f>_xlfn.XLOOKUP(A25,'Icyte Report'!A:A,'Icyte Report'!AS:AS)</f>
        <v>10352281.5</v>
      </c>
      <c r="AN25" s="10" t="str">
        <f>_xlfn.XLOOKUP(A25,'United MAMP All Components'!A:A,'United MAMP All Components'!T:T)</f>
        <v>14,033,092.70</v>
      </c>
      <c r="AO25" s="10">
        <f t="shared" si="12"/>
        <v>-3680811.1999999993</v>
      </c>
      <c r="AP25" s="10">
        <f>_xlfn.XLOOKUP(A25,'Icyte Report'!A:A,'Icyte Report'!AT:AT)</f>
        <v>450</v>
      </c>
      <c r="AQ25" s="10" t="str">
        <f>_xlfn.XLOOKUP(A25,'United MAMP All Components'!A:A,'United MAMP All Components'!U:U)</f>
        <v>610.00</v>
      </c>
      <c r="AR25" s="10">
        <f t="shared" si="13"/>
        <v>-160</v>
      </c>
      <c r="AS25" s="10">
        <f>_xlfn.XLOOKUP(A25,'Icyte Report'!A:A,'Icyte Report'!AU:AU)</f>
        <v>0</v>
      </c>
      <c r="AT25" s="10" t="str">
        <f>_xlfn.XLOOKUP(A25,'United MAMP All Components'!A:A,'United MAMP All Components'!AO:AO)</f>
        <v>0.00</v>
      </c>
      <c r="AU25" s="10">
        <f t="shared" si="14"/>
        <v>0</v>
      </c>
      <c r="AV25" s="10">
        <f>_xlfn.XLOOKUP(A25,'Icyte Report'!A:A,'Icyte Report'!AV:AV)</f>
        <v>0</v>
      </c>
      <c r="AW25" s="10" t="str">
        <f>_xlfn.XLOOKUP(A25,'United MAMP All Components'!A:A,'United MAMP All Components'!AP:AP)</f>
        <v>0.00</v>
      </c>
      <c r="AX25" s="10">
        <f t="shared" si="15"/>
        <v>0</v>
      </c>
      <c r="AY25" s="10">
        <f>_xlfn.XLOOKUP(A25,'Icyte Report'!A:A,'Icyte Report'!BH:BH)</f>
        <v>285</v>
      </c>
      <c r="AZ25" s="10" t="e">
        <f>_xlfn.XLOOKUP(A25,'United Smoothed Indirect Inelig'!A:A,'United Smoothed Indirect Inelig'!D:D)</f>
        <v>#N/A</v>
      </c>
      <c r="BA25" s="10" t="e">
        <f t="shared" si="16"/>
        <v>#N/A</v>
      </c>
      <c r="BB25" s="10">
        <f>_xlfn.XLOOKUP(A25,'Icyte Report'!A:A,'Icyte Report'!BK:BK)</f>
        <v>1556</v>
      </c>
      <c r="BC25" s="10" t="e">
        <f t="shared" si="17"/>
        <v>#N/A</v>
      </c>
      <c r="BD25" s="10">
        <f>_xlfn.XLOOKUP(A25,'Icyte Report'!A:A,'Icyte Report'!BN:BN)</f>
        <v>0</v>
      </c>
      <c r="BE25" s="10" t="e">
        <f>_xlfn.XLOOKUP(A25,'United Smoothed Indirect Inelig'!A:A,'United Smoothed Indirect Inelig'!C:C)</f>
        <v>#N/A</v>
      </c>
      <c r="BF25" s="10" t="e">
        <f t="shared" si="18"/>
        <v>#N/A</v>
      </c>
      <c r="BG25" s="10">
        <f>_xlfn.XLOOKUP(A25,'Icyte Report'!A:A,'Icyte Report'!BR:BR)</f>
        <v>0</v>
      </c>
      <c r="BH25" s="10" t="e">
        <f>_xlfn.XLOOKUP(A25,'United Smoothed Indirect Inelig'!A:A,'United Smoothed Indirect Inelig'!B:B)</f>
        <v>#N/A</v>
      </c>
      <c r="BI25" s="10" t="e">
        <f t="shared" si="19"/>
        <v>#N/A</v>
      </c>
      <c r="BJ25" s="10">
        <f>_xlfn.XLOOKUP(A25,'Icyte Report'!A:A,'Icyte Report'!BV:BV)</f>
        <v>23005.07</v>
      </c>
      <c r="BK25" s="10" t="e">
        <f>_xlfn.XLOOKUP(A25,'United Smoothed Indirect Inelig'!A:A,'United Smoothed Indirect Inelig'!P:P)</f>
        <v>#N/A</v>
      </c>
      <c r="BL25" s="10" t="e">
        <f t="shared" si="20"/>
        <v>#N/A</v>
      </c>
      <c r="BM25" s="13">
        <f>_xlfn.XLOOKUP(A25,'Icyte Report'!A:A,'Icyte Report'!BW:BW)</f>
        <v>0.30791102191002001</v>
      </c>
      <c r="BN25" s="13" t="e">
        <f>_xlfn.XLOOKUP(A25,'United Smoothed Indirect Inelig'!A:A,'United Smoothed Indirect Inelig'!G:G)+_xlfn.XLOOKUP(A25,'United Smoothed Indirect Inelig'!A:A,'United Smoothed Indirect Inelig'!H:H) + _xlfn.XLOOKUP(A25,'United Smoothed Indirect Inelig'!A:A,'United Smoothed Indirect Inelig'!I:I)+_xlfn.XLOOKUP(A25,'United Smoothed Indirect Inelig'!A:A,'United Smoothed Indirect Inelig'!J:J)</f>
        <v>#N/A</v>
      </c>
      <c r="BO25" s="18" t="e">
        <f t="shared" si="21"/>
        <v>#N/A</v>
      </c>
      <c r="BP25" s="10">
        <f>_xlfn.XLOOKUP(A25,'Icyte Report'!A:A,'Icyte Report'!BY:BY)</f>
        <v>138.5599598595083</v>
      </c>
      <c r="BQ25" s="10" t="e">
        <f>_xlfn.XLOOKUP(A25,'United Smoothed Indirect Inelig'!A:A,'United Smoothed Indirect Inelig'!L:L)+_xlfn.XLOOKUP(A25,'United Smoothed Indirect Inelig'!A:A,'United Smoothed Indirect Inelig'!M:M) + _xlfn.XLOOKUP(A25,'United Smoothed Indirect Inelig'!A:A,'United Smoothed Indirect Inelig'!N:N)+_xlfn.XLOOKUP(A25,'United Smoothed Indirect Inelig'!A:A,'United Smoothed Indirect Inelig'!O:O)</f>
        <v>#N/A</v>
      </c>
      <c r="BR25" s="10" t="e">
        <f t="shared" si="22"/>
        <v>#N/A</v>
      </c>
      <c r="BS25" s="10">
        <f>_xlfn.XLOOKUP(A25,'Icyte Report'!A:A,'Icyte Report'!BZ:BZ)</f>
        <v>7164699.9242348215</v>
      </c>
      <c r="BT25" s="10" t="str">
        <f>_xlfn.XLOOKUP(A25,'United MAMP All Components'!A:A,'United MAMP All Components'!AL:AL)</f>
        <v>9,806,692.53</v>
      </c>
      <c r="BU25" s="10">
        <f t="shared" si="23"/>
        <v>-2641992.6057651779</v>
      </c>
      <c r="BV25" s="26">
        <f>_xlfn.XLOOKUP(A25,'Icyte Report'!A:A,'Icyte Report'!CA:CA)</f>
        <v>311.4400401404917</v>
      </c>
      <c r="BW25" s="22" t="str">
        <f>_xlfn.XLOOKUP(A25,'United MAMP All Components'!A:A,'United MAMP All Components'!AM:AM)</f>
        <v>426.28</v>
      </c>
      <c r="BX25" s="10">
        <f t="shared" si="24"/>
        <v>-114.83995985950827</v>
      </c>
      <c r="BY25" s="10">
        <f>_xlfn.XLOOKUP(A25,'Icyte Report'!A:A,'Icyte Report'!CD:CD)</f>
        <v>0</v>
      </c>
      <c r="BZ25" s="10" t="str">
        <f>_xlfn.XLOOKUP(A25,'United_Smoothed Price Concessio'!A:A,'United_Smoothed Price Concessio'!D:D)</f>
        <v>$0.00</v>
      </c>
      <c r="CA25" s="10">
        <f t="shared" si="25"/>
        <v>0</v>
      </c>
      <c r="CB25" s="10">
        <f>_xlfn.XLOOKUP(A25,'Icyte Report'!A:A,'Icyte Report'!CF:CF)</f>
        <v>5979</v>
      </c>
      <c r="CC25" s="10" t="e">
        <f>_xlfn.XLOOKUP(A25,'United Smoothed Indirect Inelig'!A:A,'United Smoothed Indirect Inelig'!F:F)</f>
        <v>#N/A</v>
      </c>
      <c r="CD25" s="10" t="e">
        <f t="shared" si="26"/>
        <v>#N/A</v>
      </c>
      <c r="CE25" s="10">
        <f>_xlfn.XLOOKUP(A25,'Icyte Report'!A:A,'Icyte Report'!CL:CL)</f>
        <v>93358512.432377055</v>
      </c>
      <c r="CF25" s="10" t="str">
        <f>_xlfn.XLOOKUP(A25,'United_Smoothed Price Concessio'!A:A,'United_Smoothed Price Concessio'!H:H)</f>
        <v>$97,693,256.50</v>
      </c>
      <c r="CG25" s="10">
        <f t="shared" si="27"/>
        <v>-4334744.0676229447</v>
      </c>
      <c r="CH25" s="10">
        <f>_xlfn.XLOOKUP(A25,'Icyte Report'!A:A,'Icyte Report'!CY:CY)</f>
        <v>2725966.7261903589</v>
      </c>
      <c r="CI25" s="10" t="str">
        <f>_xlfn.XLOOKUP(A25,'United_Smoothed Price Concessio'!A:A,'United_Smoothed Price Concessio'!C:C)</f>
        <v>$1,694,807.03</v>
      </c>
      <c r="CJ25" s="10">
        <f t="shared" si="28"/>
        <v>1031159.6961903588</v>
      </c>
      <c r="CK25" s="10">
        <f>_xlfn.XLOOKUP(A25,'Icyte Report'!A:A,'Icyte Report'!CZ:CZ)</f>
        <v>2725966.7261903589</v>
      </c>
      <c r="CL25" s="10" t="str">
        <f>_xlfn.XLOOKUP(A25,'United_Smoothed Price Concessio'!A:A,'United_Smoothed Price Concessio'!G:G)</f>
        <v>$2,506,260.44</v>
      </c>
      <c r="CM25" s="10">
        <f t="shared" si="29"/>
        <v>219706.28619035892</v>
      </c>
      <c r="CN25" s="13">
        <f>_xlfn.XLOOKUP(A25,'Icyte Report'!A:A,'Icyte Report'!DA:DA)</f>
        <v>2.919890918533E-2</v>
      </c>
      <c r="CO25" s="13" t="str">
        <f>_xlfn.XLOOKUP(A25,'United_Smoothed Price Concessio'!A:A,'United_Smoothed Price Concessio'!I:I)</f>
        <v>2.565439%</v>
      </c>
      <c r="CP25" s="10">
        <f t="shared" si="30"/>
        <v>3.5445191853300008E-3</v>
      </c>
      <c r="CQ25" s="10">
        <f>_xlfn.XLOOKUP(A25,'Icyte Report'!A:A,'Icyte Report'!DB:DB)</f>
        <v>209201.4224278641</v>
      </c>
      <c r="CR25" s="10" t="str">
        <f>_xlfn.XLOOKUP(A25,'United MAMP All Components'!A:A,'United MAMP All Components'!AX:AX)</f>
        <v>251,584.67</v>
      </c>
      <c r="CS25" s="10">
        <f t="shared" si="31"/>
        <v>-42383.247572135908</v>
      </c>
      <c r="CT25" s="10">
        <f>_xlfn.XLOOKUP(A25,'Icyte Report'!A:A,'Icyte Report'!DC:DC)</f>
        <v>143293.99848469641</v>
      </c>
      <c r="CU25" s="10" t="str">
        <f>_xlfn.XLOOKUP(A25,'United MAMP All Components'!A:A,'United MAMP All Components'!BA:BA)</f>
        <v>196,133.85</v>
      </c>
      <c r="CV25" s="10">
        <f t="shared" si="32"/>
        <v>-52839.851515303599</v>
      </c>
      <c r="CW25" s="10">
        <f>_xlfn.XLOOKUP(A25,'Icyte Report'!A:A,'Icyte Report'!DD:DD)</f>
        <v>6812204.5033222614</v>
      </c>
      <c r="CX25" s="10" t="str">
        <f>_xlfn.XLOOKUP(A25,'United MAMP All Components'!A:A,'United MAMP All Components'!BD:BD)</f>
        <v>9,358,974.02</v>
      </c>
      <c r="CY25" s="10">
        <f t="shared" si="33"/>
        <v>-2546769.5166777382</v>
      </c>
      <c r="CZ25" s="10">
        <f>_xlfn.XLOOKUP(A25,'Icyte Report'!A:A,'Icyte Report'!DE:DE)</f>
        <v>311.4400401404917</v>
      </c>
      <c r="DA25" s="10" t="str">
        <f>_xlfn.XLOOKUP(A25,'United MAMP All Components'!A:A,'United MAMP All Components'!BE:BE)</f>
        <v>426.28</v>
      </c>
      <c r="DB25" s="10">
        <f t="shared" si="34"/>
        <v>-114.83995985950827</v>
      </c>
      <c r="DC25" s="10">
        <f>_xlfn.XLOOKUP(A25,'Icyte Report'!A:A,'Icyte Report'!DI:DI)</f>
        <v>21873.245650000001</v>
      </c>
      <c r="DD25" s="10" t="str">
        <f>_xlfn.XLOOKUP(A25,'United MAMP All Components'!A:A,'United MAMP All Components'!BG:BG)</f>
        <v>21,954.787671</v>
      </c>
      <c r="DE25" s="10">
        <f t="shared" si="35"/>
        <v>-81.542020999997476</v>
      </c>
    </row>
    <row r="26" spans="1:109" x14ac:dyDescent="0.35">
      <c r="A26" s="10" t="s">
        <v>216</v>
      </c>
      <c r="B26" s="10" t="s">
        <v>437</v>
      </c>
      <c r="C26" s="10">
        <f>_xlfn.XLOOKUP(A26,'Icyte Report'!A:A,'Icyte Report'!W:W)</f>
        <v>22314917.899999999</v>
      </c>
      <c r="D26" s="10" t="str">
        <f>_xlfn.XLOOKUP(A26,'United MAMP All Components'!A:A,'United MAMP All Components'!B:B)</f>
        <v>27,376,033.30</v>
      </c>
      <c r="E26" s="10">
        <f t="shared" si="0"/>
        <v>-5061115.4000000022</v>
      </c>
      <c r="F26" s="10">
        <f>_xlfn.XLOOKUP(A26,'Icyte Report'!A:A,'Icyte Report'!X:X)</f>
        <v>1020</v>
      </c>
      <c r="G26" s="10" t="str">
        <f>_xlfn.XLOOKUP(A26,'United MAMP All Components'!A:A,'United MAMP All Components'!C:C)</f>
        <v>1,370.00</v>
      </c>
      <c r="H26" s="10">
        <f t="shared" si="1"/>
        <v>-350</v>
      </c>
      <c r="I26" s="10">
        <f>_xlfn.XLOOKUP(A26,'Icyte Report'!A:A,'Icyte Report'!Y:Y)</f>
        <v>0</v>
      </c>
      <c r="J26" s="10" t="str">
        <f>_xlfn.XLOOKUP(A26,'United MAMP All Components'!A:A,'United MAMP All Components'!E:E)</f>
        <v>0.00</v>
      </c>
      <c r="K26" s="10">
        <f t="shared" si="2"/>
        <v>0</v>
      </c>
      <c r="L26" s="10">
        <f>_xlfn.XLOOKUP(A26,'Icyte Report'!A:A,'Icyte Report'!Z:Z)</f>
        <v>0</v>
      </c>
      <c r="M26" s="10" t="str">
        <f>_xlfn.XLOOKUP(A26,'United MAMP All Components'!A:A,'United MAMP All Components'!F:F)</f>
        <v>0.00</v>
      </c>
      <c r="N26" s="10">
        <f t="shared" si="3"/>
        <v>0</v>
      </c>
      <c r="O26" s="10">
        <f>_xlfn.XLOOKUP(A26,'Icyte Report'!A:A,'Icyte Report'!AA:AA)</f>
        <v>0</v>
      </c>
      <c r="P26" s="10" t="str">
        <f>_xlfn.XLOOKUP(A26,'United MAMP All Components'!A:A,'United MAMP All Components'!H:H)</f>
        <v>0.00</v>
      </c>
      <c r="Q26" s="10">
        <f t="shared" si="4"/>
        <v>0</v>
      </c>
      <c r="R26" s="10">
        <f>_xlfn.XLOOKUP(A26,'Icyte Report'!A:A,'Icyte Report'!AB:AB)</f>
        <v>0</v>
      </c>
      <c r="S26" s="10" t="str">
        <f>_xlfn.XLOOKUP(A26,'United MAMP All Components'!A:A,'United MAMP All Components'!I:I)</f>
        <v>0.00</v>
      </c>
      <c r="T26" s="10">
        <f t="shared" si="5"/>
        <v>0</v>
      </c>
      <c r="U26" s="10">
        <f>_xlfn.XLOOKUP(A26,'Icyte Report'!A:A,'Icyte Report'!AC:AC)</f>
        <v>0</v>
      </c>
      <c r="V26" s="10" t="str">
        <f>_xlfn.XLOOKUP(A26,'United MAMP All Components'!A:A,'United MAMP All Components'!K:K)</f>
        <v>0.00</v>
      </c>
      <c r="W26" s="10">
        <f t="shared" si="6"/>
        <v>0</v>
      </c>
      <c r="X26" s="10">
        <f>_xlfn.XLOOKUP(A26,'Icyte Report'!A:A,'Icyte Report'!AD:AD)</f>
        <v>0</v>
      </c>
      <c r="Y26" s="10" t="str">
        <f>_xlfn.XLOOKUP(A26,'United MAMP All Components'!A:A,'United MAMP All Components'!L:L)</f>
        <v>0.00</v>
      </c>
      <c r="Z26" s="10">
        <f t="shared" si="7"/>
        <v>0</v>
      </c>
      <c r="AA26" s="10">
        <f>_xlfn.XLOOKUP(A26,'Icyte Report'!A:A,'Icyte Report'!AE:AE)</f>
        <v>0</v>
      </c>
      <c r="AB26" s="10" t="str">
        <f>_xlfn.XLOOKUP(A26,'United MAMP All Components'!A:A,'United MAMP All Components'!N:N)</f>
        <v>0.00</v>
      </c>
      <c r="AC26" s="10">
        <f t="shared" si="8"/>
        <v>0</v>
      </c>
      <c r="AD26" s="10">
        <f>_xlfn.XLOOKUP(A26,'Icyte Report'!A:A,'Icyte Report'!AF:AF)</f>
        <v>50</v>
      </c>
      <c r="AE26" s="10" t="str">
        <f>_xlfn.XLOOKUP(A26,'United MAMP All Components'!A:A,'United MAMP All Components'!O:O)</f>
        <v>180.00</v>
      </c>
      <c r="AF26" s="10">
        <f t="shared" si="9"/>
        <v>-130</v>
      </c>
      <c r="AG26" s="10">
        <f>_xlfn.XLOOKUP(A26,'Icyte Report'!A:A,'Icyte Report'!AG:AG)</f>
        <v>0</v>
      </c>
      <c r="AH26" s="10" t="str">
        <f>_xlfn.XLOOKUP(A26,'United MAMP All Components'!A:A,'United MAMP All Components'!Q:Q)</f>
        <v>0.00</v>
      </c>
      <c r="AI26" s="10">
        <f t="shared" si="10"/>
        <v>0</v>
      </c>
      <c r="AJ26" s="10">
        <f>_xlfn.XLOOKUP(A26,'Icyte Report'!A:A,'Icyte Report'!AH:AH)</f>
        <v>0</v>
      </c>
      <c r="AK26" s="10" t="str">
        <f>_xlfn.XLOOKUP(A26,'United MAMP All Components'!A:A,'United MAMP All Components'!R:R)</f>
        <v>0.00</v>
      </c>
      <c r="AL26" s="10">
        <f t="shared" si="11"/>
        <v>0</v>
      </c>
      <c r="AM26" s="10">
        <f>_xlfn.XLOOKUP(A26,'Icyte Report'!A:A,'Icyte Report'!AS:AS)</f>
        <v>22314917.899999999</v>
      </c>
      <c r="AN26" s="10" t="str">
        <f>_xlfn.XLOOKUP(A26,'United MAMP All Components'!A:A,'United MAMP All Components'!T:T)</f>
        <v>27,376,033.30</v>
      </c>
      <c r="AO26" s="10">
        <f t="shared" si="12"/>
        <v>-5061115.4000000022</v>
      </c>
      <c r="AP26" s="10">
        <f>_xlfn.XLOOKUP(A26,'Icyte Report'!A:A,'Icyte Report'!AT:AT)</f>
        <v>970</v>
      </c>
      <c r="AQ26" s="10" t="str">
        <f>_xlfn.XLOOKUP(A26,'United MAMP All Components'!A:A,'United MAMP All Components'!U:U)</f>
        <v>1,190.00</v>
      </c>
      <c r="AR26" s="10">
        <f t="shared" si="13"/>
        <v>-220</v>
      </c>
      <c r="AS26" s="10">
        <f>_xlfn.XLOOKUP(A26,'Icyte Report'!A:A,'Icyte Report'!AU:AU)</f>
        <v>0</v>
      </c>
      <c r="AT26" s="10" t="str">
        <f>_xlfn.XLOOKUP(A26,'United MAMP All Components'!A:A,'United MAMP All Components'!AO:AO)</f>
        <v>0.00</v>
      </c>
      <c r="AU26" s="10">
        <f t="shared" si="14"/>
        <v>0</v>
      </c>
      <c r="AV26" s="10">
        <f>_xlfn.XLOOKUP(A26,'Icyte Report'!A:A,'Icyte Report'!AV:AV)</f>
        <v>0</v>
      </c>
      <c r="AW26" s="10" t="str">
        <f>_xlfn.XLOOKUP(A26,'United MAMP All Components'!A:A,'United MAMP All Components'!AP:AP)</f>
        <v>0.00</v>
      </c>
      <c r="AX26" s="10">
        <f t="shared" si="15"/>
        <v>0</v>
      </c>
      <c r="AY26" s="10">
        <f>_xlfn.XLOOKUP(A26,'Icyte Report'!A:A,'Icyte Report'!BH:BH)</f>
        <v>497</v>
      </c>
      <c r="AZ26" s="10" t="e">
        <f>_xlfn.XLOOKUP(A26,'United Smoothed Indirect Inelig'!A:A,'United Smoothed Indirect Inelig'!D:D)</f>
        <v>#N/A</v>
      </c>
      <c r="BA26" s="10" t="e">
        <f t="shared" si="16"/>
        <v>#N/A</v>
      </c>
      <c r="BB26" s="10">
        <f>_xlfn.XLOOKUP(A26,'Icyte Report'!A:A,'Icyte Report'!BK:BK)</f>
        <v>4621</v>
      </c>
      <c r="BC26" s="10" t="e">
        <f t="shared" si="17"/>
        <v>#N/A</v>
      </c>
      <c r="BD26" s="10">
        <f>_xlfn.XLOOKUP(A26,'Icyte Report'!A:A,'Icyte Report'!BN:BN)</f>
        <v>0</v>
      </c>
      <c r="BE26" s="10" t="e">
        <f>_xlfn.XLOOKUP(A26,'United Smoothed Indirect Inelig'!A:A,'United Smoothed Indirect Inelig'!C:C)</f>
        <v>#N/A</v>
      </c>
      <c r="BF26" s="10" t="e">
        <f t="shared" si="18"/>
        <v>#N/A</v>
      </c>
      <c r="BG26" s="10">
        <f>_xlfn.XLOOKUP(A26,'Icyte Report'!A:A,'Icyte Report'!BR:BR)</f>
        <v>0</v>
      </c>
      <c r="BH26" s="10" t="e">
        <f>_xlfn.XLOOKUP(A26,'United Smoothed Indirect Inelig'!A:A,'United Smoothed Indirect Inelig'!B:B)</f>
        <v>#N/A</v>
      </c>
      <c r="BI26" s="10" t="e">
        <f t="shared" si="19"/>
        <v>#N/A</v>
      </c>
      <c r="BJ26" s="10">
        <f>_xlfn.XLOOKUP(A26,'Icyte Report'!A:A,'Icyte Report'!BV:BV)</f>
        <v>23005.07</v>
      </c>
      <c r="BK26" s="10" t="e">
        <f>_xlfn.XLOOKUP(A26,'United Smoothed Indirect Inelig'!A:A,'United Smoothed Indirect Inelig'!P:P)</f>
        <v>#N/A</v>
      </c>
      <c r="BL26" s="10" t="e">
        <f t="shared" si="20"/>
        <v>#N/A</v>
      </c>
      <c r="BM26" s="13">
        <f>_xlfn.XLOOKUP(A26,'Icyte Report'!A:A,'Icyte Report'!BW:BW)</f>
        <v>0.42297520661157001</v>
      </c>
      <c r="BN26" s="13" t="e">
        <f>_xlfn.XLOOKUP(A26,'United Smoothed Indirect Inelig'!A:A,'United Smoothed Indirect Inelig'!G:G)+_xlfn.XLOOKUP(A26,'United Smoothed Indirect Inelig'!A:A,'United Smoothed Indirect Inelig'!H:H) + _xlfn.XLOOKUP(A26,'United Smoothed Indirect Inelig'!A:A,'United Smoothed Indirect Inelig'!I:I)+_xlfn.XLOOKUP(A26,'United Smoothed Indirect Inelig'!A:A,'United Smoothed Indirect Inelig'!J:J)</f>
        <v>#N/A</v>
      </c>
      <c r="BO26" s="18" t="e">
        <f t="shared" si="21"/>
        <v>#N/A</v>
      </c>
      <c r="BP26" s="10">
        <f>_xlfn.XLOOKUP(A26,'Icyte Report'!A:A,'Icyte Report'!BY:BY)</f>
        <v>410.28595041322308</v>
      </c>
      <c r="BQ26" s="10" t="e">
        <f>_xlfn.XLOOKUP(A26,'United Smoothed Indirect Inelig'!A:A,'United Smoothed Indirect Inelig'!L:L)+_xlfn.XLOOKUP(A26,'United Smoothed Indirect Inelig'!A:A,'United Smoothed Indirect Inelig'!M:M) + _xlfn.XLOOKUP(A26,'United Smoothed Indirect Inelig'!A:A,'United Smoothed Indirect Inelig'!N:N)+_xlfn.XLOOKUP(A26,'United Smoothed Indirect Inelig'!A:A,'United Smoothed Indirect Inelig'!O:O)</f>
        <v>#N/A</v>
      </c>
      <c r="BR26" s="10" t="e">
        <f t="shared" si="22"/>
        <v>#N/A</v>
      </c>
      <c r="BS26" s="10">
        <f>_xlfn.XLOOKUP(A26,'Icyte Report'!A:A,'Icyte Report'!BZ:BZ)</f>
        <v>12876260.89072727</v>
      </c>
      <c r="BT26" s="10" t="str">
        <f>_xlfn.XLOOKUP(A26,'United MAMP All Components'!A:A,'United MAMP All Components'!AL:AL)</f>
        <v>17,480,252.24</v>
      </c>
      <c r="BU26" s="10">
        <f t="shared" si="23"/>
        <v>-4603991.349272728</v>
      </c>
      <c r="BV26" s="26">
        <f>_xlfn.XLOOKUP(A26,'Icyte Report'!A:A,'Icyte Report'!CA:CA)</f>
        <v>559.71404958677681</v>
      </c>
      <c r="BW26" s="22" t="str">
        <f>_xlfn.XLOOKUP(A26,'United MAMP All Components'!A:A,'United MAMP All Components'!AM:AM)</f>
        <v>759.84</v>
      </c>
      <c r="BX26" s="10">
        <f t="shared" si="24"/>
        <v>-200.12595041322322</v>
      </c>
      <c r="BY26" s="10">
        <f>_xlfn.XLOOKUP(A26,'Icyte Report'!A:A,'Icyte Report'!CD:CD)</f>
        <v>0</v>
      </c>
      <c r="BZ26" s="10" t="str">
        <f>_xlfn.XLOOKUP(A26,'United_Smoothed Price Concessio'!A:A,'United_Smoothed Price Concessio'!D:D)</f>
        <v>$0.00</v>
      </c>
      <c r="CA26" s="10">
        <f t="shared" si="25"/>
        <v>0</v>
      </c>
      <c r="CB26" s="10">
        <f>_xlfn.XLOOKUP(A26,'Icyte Report'!A:A,'Icyte Report'!CF:CF)</f>
        <v>12100</v>
      </c>
      <c r="CC26" s="10" t="e">
        <f>_xlfn.XLOOKUP(A26,'United Smoothed Indirect Inelig'!A:A,'United Smoothed Indirect Inelig'!F:F)</f>
        <v>#N/A</v>
      </c>
      <c r="CD26" s="10" t="e">
        <f t="shared" si="26"/>
        <v>#N/A</v>
      </c>
      <c r="CE26" s="10">
        <f>_xlfn.XLOOKUP(A26,'Icyte Report'!A:A,'Icyte Report'!CL:CL)</f>
        <v>157418574.43688521</v>
      </c>
      <c r="CF26" s="10" t="str">
        <f>_xlfn.XLOOKUP(A26,'United_Smoothed Price Concessio'!A:A,'United_Smoothed Price Concessio'!H:H)</f>
        <v>$176,648,621.71</v>
      </c>
      <c r="CG26" s="10">
        <f t="shared" si="27"/>
        <v>-19230047.2731148</v>
      </c>
      <c r="CH26" s="10">
        <f>_xlfn.XLOOKUP(A26,'Icyte Report'!A:A,'Icyte Report'!CY:CY)</f>
        <v>4751295.479175807</v>
      </c>
      <c r="CI26" s="10" t="str">
        <f>_xlfn.XLOOKUP(A26,'United_Smoothed Price Concessio'!A:A,'United_Smoothed Price Concessio'!C:C)</f>
        <v>$3,164,427.11</v>
      </c>
      <c r="CJ26" s="10">
        <f t="shared" si="28"/>
        <v>1586868.3691758071</v>
      </c>
      <c r="CK26" s="10">
        <f>_xlfn.XLOOKUP(A26,'Icyte Report'!A:A,'Icyte Report'!CZ:CZ)</f>
        <v>4751295.479175807</v>
      </c>
      <c r="CL26" s="10" t="str">
        <f>_xlfn.XLOOKUP(A26,'United_Smoothed Price Concessio'!A:A,'United_Smoothed Price Concessio'!G:G)</f>
        <v>$4,796,569.61</v>
      </c>
      <c r="CM26" s="10">
        <f t="shared" si="29"/>
        <v>-45274.130824193358</v>
      </c>
      <c r="CN26" s="13">
        <f>_xlfn.XLOOKUP(A26,'Icyte Report'!A:A,'Icyte Report'!DA:DA)</f>
        <v>3.018255943539E-2</v>
      </c>
      <c r="CO26" s="13" t="str">
        <f>_xlfn.XLOOKUP(A26,'United_Smoothed Price Concessio'!A:A,'United_Smoothed Price Concessio'!I:I)</f>
        <v>2.715317%</v>
      </c>
      <c r="CP26" s="10">
        <f t="shared" si="30"/>
        <v>3.0293894353899987E-3</v>
      </c>
      <c r="CQ26" s="10">
        <f>_xlfn.XLOOKUP(A26,'Icyte Report'!A:A,'Icyte Report'!DB:DB)</f>
        <v>388638.5096399762</v>
      </c>
      <c r="CR26" s="10" t="str">
        <f>_xlfn.XLOOKUP(A26,'United MAMP All Components'!A:A,'United MAMP All Components'!AX:AX)</f>
        <v>474,644.22</v>
      </c>
      <c r="CS26" s="10">
        <f t="shared" si="31"/>
        <v>-86005.710360023775</v>
      </c>
      <c r="CT26" s="10">
        <f>_xlfn.XLOOKUP(A26,'Icyte Report'!A:A,'Icyte Report'!DC:DC)</f>
        <v>257525.2178145455</v>
      </c>
      <c r="CU26" s="10" t="str">
        <f>_xlfn.XLOOKUP(A26,'United MAMP All Components'!A:A,'United MAMP All Components'!BA:BA)</f>
        <v>349,605.04</v>
      </c>
      <c r="CV26" s="10">
        <f t="shared" si="32"/>
        <v>-92079.822185454483</v>
      </c>
      <c r="CW26" s="10">
        <f>_xlfn.XLOOKUP(A26,'Icyte Report'!A:A,'Icyte Report'!DD:DD)</f>
        <v>12230097.16327275</v>
      </c>
      <c r="CX26" s="10" t="str">
        <f>_xlfn.XLOOKUP(A26,'United MAMP All Components'!A:A,'United MAMP All Components'!BD:BD)</f>
        <v>16,656,002.98</v>
      </c>
      <c r="CY26" s="10">
        <f t="shared" si="33"/>
        <v>-4425905.8167272508</v>
      </c>
      <c r="CZ26" s="10">
        <f>_xlfn.XLOOKUP(A26,'Icyte Report'!A:A,'Icyte Report'!DE:DE)</f>
        <v>559.71404958677681</v>
      </c>
      <c r="DA26" s="10" t="str">
        <f>_xlfn.XLOOKUP(A26,'United MAMP All Components'!A:A,'United MAMP All Components'!BE:BE)</f>
        <v>759.84</v>
      </c>
      <c r="DB26" s="10">
        <f t="shared" si="34"/>
        <v>-200.12595041322322</v>
      </c>
      <c r="DC26" s="10">
        <f>_xlfn.XLOOKUP(A26,'Icyte Report'!A:A,'Icyte Report'!DI:DI)</f>
        <v>21850.616707000001</v>
      </c>
      <c r="DD26" s="10" t="str">
        <f>_xlfn.XLOOKUP(A26,'United MAMP All Components'!A:A,'United MAMP All Components'!BG:BG)</f>
        <v>21,920.308081</v>
      </c>
      <c r="DE26" s="10">
        <f t="shared" si="35"/>
        <v>-69.691373999998177</v>
      </c>
    </row>
    <row r="27" spans="1:109" x14ac:dyDescent="0.35">
      <c r="A27" s="10" t="s">
        <v>220</v>
      </c>
      <c r="B27" s="10" t="s">
        <v>438</v>
      </c>
      <c r="C27" s="10">
        <f>_xlfn.XLOOKUP(A27,'Icyte Report'!A:A,'Icyte Report'!W:W)</f>
        <v>43019480.899999999</v>
      </c>
      <c r="D27" s="10" t="str">
        <f>_xlfn.XLOOKUP(A27,'United MAMP All Components'!A:A,'United MAMP All Components'!B:B)</f>
        <v>57,742,725.70</v>
      </c>
      <c r="E27" s="10">
        <f t="shared" si="0"/>
        <v>-14723244.800000004</v>
      </c>
      <c r="F27" s="10">
        <f>_xlfn.XLOOKUP(A27,'Icyte Report'!A:A,'Icyte Report'!X:X)</f>
        <v>1990</v>
      </c>
      <c r="G27" s="10" t="str">
        <f>_xlfn.XLOOKUP(A27,'United MAMP All Components'!A:A,'United MAMP All Components'!C:C)</f>
        <v>2,910.00</v>
      </c>
      <c r="H27" s="10">
        <f t="shared" si="1"/>
        <v>-920</v>
      </c>
      <c r="I27" s="10">
        <f>_xlfn.XLOOKUP(A27,'Icyte Report'!A:A,'Icyte Report'!Y:Y)</f>
        <v>0</v>
      </c>
      <c r="J27" s="10" t="str">
        <f>_xlfn.XLOOKUP(A27,'United MAMP All Components'!A:A,'United MAMP All Components'!E:E)</f>
        <v>0.00</v>
      </c>
      <c r="K27" s="10">
        <f t="shared" si="2"/>
        <v>0</v>
      </c>
      <c r="L27" s="10">
        <f>_xlfn.XLOOKUP(A27,'Icyte Report'!A:A,'Icyte Report'!Z:Z)</f>
        <v>0</v>
      </c>
      <c r="M27" s="10" t="str">
        <f>_xlfn.XLOOKUP(A27,'United MAMP All Components'!A:A,'United MAMP All Components'!F:F)</f>
        <v>0.00</v>
      </c>
      <c r="N27" s="10">
        <f t="shared" si="3"/>
        <v>0</v>
      </c>
      <c r="O27" s="10">
        <f>_xlfn.XLOOKUP(A27,'Icyte Report'!A:A,'Icyte Report'!AA:AA)</f>
        <v>0</v>
      </c>
      <c r="P27" s="10" t="str">
        <f>_xlfn.XLOOKUP(A27,'United MAMP All Components'!A:A,'United MAMP All Components'!H:H)</f>
        <v>0.00</v>
      </c>
      <c r="Q27" s="10">
        <f t="shared" si="4"/>
        <v>0</v>
      </c>
      <c r="R27" s="10">
        <f>_xlfn.XLOOKUP(A27,'Icyte Report'!A:A,'Icyte Report'!AB:AB)</f>
        <v>0</v>
      </c>
      <c r="S27" s="10" t="str">
        <f>_xlfn.XLOOKUP(A27,'United MAMP All Components'!A:A,'United MAMP All Components'!I:I)</f>
        <v>0.00</v>
      </c>
      <c r="T27" s="10">
        <f t="shared" si="5"/>
        <v>0</v>
      </c>
      <c r="U27" s="10">
        <f>_xlfn.XLOOKUP(A27,'Icyte Report'!A:A,'Icyte Report'!AC:AC)</f>
        <v>0</v>
      </c>
      <c r="V27" s="10" t="str">
        <f>_xlfn.XLOOKUP(A27,'United MAMP All Components'!A:A,'United MAMP All Components'!K:K)</f>
        <v>0.00</v>
      </c>
      <c r="W27" s="10">
        <f t="shared" si="6"/>
        <v>0</v>
      </c>
      <c r="X27" s="10">
        <f>_xlfn.XLOOKUP(A27,'Icyte Report'!A:A,'Icyte Report'!AD:AD)</f>
        <v>0</v>
      </c>
      <c r="Y27" s="10" t="str">
        <f>_xlfn.XLOOKUP(A27,'United MAMP All Components'!A:A,'United MAMP All Components'!L:L)</f>
        <v>0.00</v>
      </c>
      <c r="Z27" s="10">
        <f t="shared" si="7"/>
        <v>0</v>
      </c>
      <c r="AA27" s="10">
        <f>_xlfn.XLOOKUP(A27,'Icyte Report'!A:A,'Icyte Report'!AE:AE)</f>
        <v>0</v>
      </c>
      <c r="AB27" s="10" t="str">
        <f>_xlfn.XLOOKUP(A27,'United MAMP All Components'!A:A,'United MAMP All Components'!N:N)</f>
        <v>0.00</v>
      </c>
      <c r="AC27" s="10">
        <f t="shared" si="8"/>
        <v>0</v>
      </c>
      <c r="AD27" s="10">
        <f>_xlfn.XLOOKUP(A27,'Icyte Report'!A:A,'Icyte Report'!AF:AF)</f>
        <v>120</v>
      </c>
      <c r="AE27" s="10" t="str">
        <f>_xlfn.XLOOKUP(A27,'United MAMP All Components'!A:A,'United MAMP All Components'!O:O)</f>
        <v>400.00</v>
      </c>
      <c r="AF27" s="10">
        <f t="shared" si="9"/>
        <v>-280</v>
      </c>
      <c r="AG27" s="10">
        <f>_xlfn.XLOOKUP(A27,'Icyte Report'!A:A,'Icyte Report'!AG:AG)</f>
        <v>0</v>
      </c>
      <c r="AH27" s="10" t="str">
        <f>_xlfn.XLOOKUP(A27,'United MAMP All Components'!A:A,'United MAMP All Components'!Q:Q)</f>
        <v>0.00</v>
      </c>
      <c r="AI27" s="10">
        <f t="shared" si="10"/>
        <v>0</v>
      </c>
      <c r="AJ27" s="10">
        <f>_xlfn.XLOOKUP(A27,'Icyte Report'!A:A,'Icyte Report'!AH:AH)</f>
        <v>0</v>
      </c>
      <c r="AK27" s="10" t="str">
        <f>_xlfn.XLOOKUP(A27,'United MAMP All Components'!A:A,'United MAMP All Components'!R:R)</f>
        <v>0.00</v>
      </c>
      <c r="AL27" s="10">
        <f t="shared" si="11"/>
        <v>0</v>
      </c>
      <c r="AM27" s="10">
        <f>_xlfn.XLOOKUP(A27,'Icyte Report'!A:A,'Icyte Report'!AS:AS)</f>
        <v>43019480.899999999</v>
      </c>
      <c r="AN27" s="10" t="str">
        <f>_xlfn.XLOOKUP(A27,'United MAMP All Components'!A:A,'United MAMP All Components'!T:T)</f>
        <v>57,742,725.70</v>
      </c>
      <c r="AO27" s="10">
        <f t="shared" si="12"/>
        <v>-14723244.800000004</v>
      </c>
      <c r="AP27" s="10">
        <f>_xlfn.XLOOKUP(A27,'Icyte Report'!A:A,'Icyte Report'!AT:AT)</f>
        <v>1870</v>
      </c>
      <c r="AQ27" s="10" t="str">
        <f>_xlfn.XLOOKUP(A27,'United MAMP All Components'!A:A,'United MAMP All Components'!U:U)</f>
        <v>2,510.00</v>
      </c>
      <c r="AR27" s="10">
        <f t="shared" si="13"/>
        <v>-640</v>
      </c>
      <c r="AS27" s="10">
        <f>_xlfn.XLOOKUP(A27,'Icyte Report'!A:A,'Icyte Report'!AU:AU)</f>
        <v>0</v>
      </c>
      <c r="AT27" s="10" t="str">
        <f>_xlfn.XLOOKUP(A27,'United MAMP All Components'!A:A,'United MAMP All Components'!AO:AO)</f>
        <v>0.00</v>
      </c>
      <c r="AU27" s="10">
        <f t="shared" si="14"/>
        <v>0</v>
      </c>
      <c r="AV27" s="10">
        <f>_xlfn.XLOOKUP(A27,'Icyte Report'!A:A,'Icyte Report'!AV:AV)</f>
        <v>0</v>
      </c>
      <c r="AW27" s="10" t="str">
        <f>_xlfn.XLOOKUP(A27,'United MAMP All Components'!A:A,'United MAMP All Components'!AP:AP)</f>
        <v>0.00</v>
      </c>
      <c r="AX27" s="10">
        <f t="shared" si="15"/>
        <v>0</v>
      </c>
      <c r="AY27" s="10">
        <f>_xlfn.XLOOKUP(A27,'Icyte Report'!A:A,'Icyte Report'!BH:BH)</f>
        <v>580</v>
      </c>
      <c r="AZ27" s="10" t="e">
        <f>_xlfn.XLOOKUP(A27,'United Smoothed Indirect Inelig'!A:A,'United Smoothed Indirect Inelig'!D:D)</f>
        <v>#N/A</v>
      </c>
      <c r="BA27" s="10" t="e">
        <f t="shared" si="16"/>
        <v>#N/A</v>
      </c>
      <c r="BB27" s="10">
        <f>_xlfn.XLOOKUP(A27,'Icyte Report'!A:A,'Icyte Report'!BK:BK)</f>
        <v>835</v>
      </c>
      <c r="BC27" s="10" t="e">
        <f t="shared" si="17"/>
        <v>#N/A</v>
      </c>
      <c r="BD27" s="10">
        <f>_xlfn.XLOOKUP(A27,'Icyte Report'!A:A,'Icyte Report'!BN:BN)</f>
        <v>0</v>
      </c>
      <c r="BE27" s="10" t="e">
        <f>_xlfn.XLOOKUP(A27,'United Smoothed Indirect Inelig'!A:A,'United Smoothed Indirect Inelig'!C:C)</f>
        <v>#N/A</v>
      </c>
      <c r="BF27" s="10" t="e">
        <f t="shared" si="18"/>
        <v>#N/A</v>
      </c>
      <c r="BG27" s="10">
        <f>_xlfn.XLOOKUP(A27,'Icyte Report'!A:A,'Icyte Report'!BR:BR)</f>
        <v>0</v>
      </c>
      <c r="BH27" s="10" t="e">
        <f>_xlfn.XLOOKUP(A27,'United Smoothed Indirect Inelig'!A:A,'United Smoothed Indirect Inelig'!B:B)</f>
        <v>#N/A</v>
      </c>
      <c r="BI27" s="10" t="e">
        <f t="shared" si="19"/>
        <v>#N/A</v>
      </c>
      <c r="BJ27" s="10">
        <f>_xlfn.XLOOKUP(A27,'Icyte Report'!A:A,'Icyte Report'!BV:BV)</f>
        <v>23005.07</v>
      </c>
      <c r="BK27" s="10" t="e">
        <f>_xlfn.XLOOKUP(A27,'United Smoothed Indirect Inelig'!A:A,'United Smoothed Indirect Inelig'!P:P)</f>
        <v>#N/A</v>
      </c>
      <c r="BL27" s="10" t="e">
        <f t="shared" si="20"/>
        <v>#N/A</v>
      </c>
      <c r="BM27" s="13">
        <f>_xlfn.XLOOKUP(A27,'Icyte Report'!A:A,'Icyte Report'!BW:BW)</f>
        <v>6.7125237191650006E-2</v>
      </c>
      <c r="BN27" s="13" t="e">
        <f>_xlfn.XLOOKUP(A27,'United Smoothed Indirect Inelig'!A:A,'United Smoothed Indirect Inelig'!G:G)+_xlfn.XLOOKUP(A27,'United Smoothed Indirect Inelig'!A:A,'United Smoothed Indirect Inelig'!H:H) + _xlfn.XLOOKUP(A27,'United Smoothed Indirect Inelig'!A:A,'United Smoothed Indirect Inelig'!I:I)+_xlfn.XLOOKUP(A27,'United Smoothed Indirect Inelig'!A:A,'United Smoothed Indirect Inelig'!J:J)</f>
        <v>#N/A</v>
      </c>
      <c r="BO27" s="18" t="e">
        <f t="shared" si="21"/>
        <v>#N/A</v>
      </c>
      <c r="BP27" s="10">
        <f>_xlfn.XLOOKUP(A27,'Icyte Report'!A:A,'Icyte Report'!BY:BY)</f>
        <v>125.5241935483871</v>
      </c>
      <c r="BQ27" s="10" t="e">
        <f>_xlfn.XLOOKUP(A27,'United Smoothed Indirect Inelig'!A:A,'United Smoothed Indirect Inelig'!L:L)+_xlfn.XLOOKUP(A27,'United Smoothed Indirect Inelig'!A:A,'United Smoothed Indirect Inelig'!M:M) + _xlfn.XLOOKUP(A27,'United Smoothed Indirect Inelig'!A:A,'United Smoothed Indirect Inelig'!N:N)+_xlfn.XLOOKUP(A27,'United Smoothed Indirect Inelig'!A:A,'United Smoothed Indirect Inelig'!O:O)</f>
        <v>#N/A</v>
      </c>
      <c r="BR27" s="10" t="e">
        <f t="shared" si="22"/>
        <v>#N/A</v>
      </c>
      <c r="BS27" s="10">
        <f>_xlfn.XLOOKUP(A27,'Icyte Report'!A:A,'Icyte Report'!BZ:BZ)</f>
        <v>40131788.040725797</v>
      </c>
      <c r="BT27" s="10" t="str">
        <f>_xlfn.XLOOKUP(A27,'United MAMP All Components'!A:A,'United MAMP All Components'!AL:AL)</f>
        <v>52,073,533.10</v>
      </c>
      <c r="BU27" s="10">
        <f t="shared" si="23"/>
        <v>-11941745.059274204</v>
      </c>
      <c r="BV27" s="26">
        <f>_xlfn.XLOOKUP(A27,'Icyte Report'!A:A,'Icyte Report'!CA:CA)</f>
        <v>1744.4758064516129</v>
      </c>
      <c r="BW27" s="22" t="str">
        <f>_xlfn.XLOOKUP(A27,'United MAMP All Components'!A:A,'United MAMP All Components'!AM:AM)</f>
        <v>2,263.57</v>
      </c>
      <c r="BX27" s="10">
        <f t="shared" si="24"/>
        <v>-519.09419354838724</v>
      </c>
      <c r="BY27" s="10">
        <f>_xlfn.XLOOKUP(A27,'Icyte Report'!A:A,'Icyte Report'!CD:CD)</f>
        <v>0</v>
      </c>
      <c r="BZ27" s="10" t="str">
        <f>_xlfn.XLOOKUP(A27,'United_Smoothed Price Concessio'!A:A,'United_Smoothed Price Concessio'!D:D)</f>
        <v>$0.00</v>
      </c>
      <c r="CA27" s="10">
        <f t="shared" si="25"/>
        <v>0</v>
      </c>
      <c r="CB27" s="10">
        <f>_xlfn.XLOOKUP(A27,'Icyte Report'!A:A,'Icyte Report'!CF:CF)</f>
        <v>21080</v>
      </c>
      <c r="CC27" s="10" t="e">
        <f>_xlfn.XLOOKUP(A27,'United Smoothed Indirect Inelig'!A:A,'United Smoothed Indirect Inelig'!F:F)</f>
        <v>#N/A</v>
      </c>
      <c r="CD27" s="10" t="e">
        <f t="shared" si="26"/>
        <v>#N/A</v>
      </c>
      <c r="CE27" s="10">
        <f>_xlfn.XLOOKUP(A27,'Icyte Report'!A:A,'Icyte Report'!CL:CL)</f>
        <v>444498094.55122948</v>
      </c>
      <c r="CF27" s="10" t="str">
        <f>_xlfn.XLOOKUP(A27,'United_Smoothed Price Concessio'!A:A,'United_Smoothed Price Concessio'!H:H)</f>
        <v>$460,023,833.06</v>
      </c>
      <c r="CG27" s="10">
        <f t="shared" si="27"/>
        <v>-15525738.508770525</v>
      </c>
      <c r="CH27" s="10">
        <f>_xlfn.XLOOKUP(A27,'Icyte Report'!A:A,'Icyte Report'!CY:CY)</f>
        <v>14258758.315857779</v>
      </c>
      <c r="CI27" s="10" t="str">
        <f>_xlfn.XLOOKUP(A27,'United_Smoothed Price Concessio'!A:A,'United_Smoothed Price Concessio'!C:C)</f>
        <v>$7,569,820.09</v>
      </c>
      <c r="CJ27" s="10">
        <f t="shared" si="28"/>
        <v>6688938.2258577794</v>
      </c>
      <c r="CK27" s="10">
        <f>_xlfn.XLOOKUP(A27,'Icyte Report'!A:A,'Icyte Report'!CZ:CZ)</f>
        <v>14258758.315857779</v>
      </c>
      <c r="CL27" s="10" t="str">
        <f>_xlfn.XLOOKUP(A27,'United_Smoothed Price Concessio'!A:A,'United_Smoothed Price Concessio'!G:G)</f>
        <v>$11,179,671.99</v>
      </c>
      <c r="CM27" s="10">
        <f t="shared" si="29"/>
        <v>3079086.325857779</v>
      </c>
      <c r="CN27" s="13">
        <f>_xlfn.XLOOKUP(A27,'Icyte Report'!A:A,'Icyte Report'!DA:DA)</f>
        <v>3.2078333947089997E-2</v>
      </c>
      <c r="CO27" s="13" t="str">
        <f>_xlfn.XLOOKUP(A27,'United_Smoothed Price Concessio'!A:A,'United_Smoothed Price Concessio'!I:I)</f>
        <v>2.430238%</v>
      </c>
      <c r="CP27" s="10">
        <f t="shared" si="30"/>
        <v>7.7759539470899988E-3</v>
      </c>
      <c r="CQ27" s="10">
        <f>_xlfn.XLOOKUP(A27,'Icyte Report'!A:A,'Icyte Report'!DB:DB)</f>
        <v>1287360.898664078</v>
      </c>
      <c r="CR27" s="10" t="str">
        <f>_xlfn.XLOOKUP(A27,'United MAMP All Components'!A:A,'United MAMP All Components'!AX:AX)</f>
        <v>1,265,510.56</v>
      </c>
      <c r="CS27" s="10">
        <f t="shared" si="31"/>
        <v>21850.338664077921</v>
      </c>
      <c r="CT27" s="10">
        <f>_xlfn.XLOOKUP(A27,'Icyte Report'!A:A,'Icyte Report'!DC:DC)</f>
        <v>802635.76081451611</v>
      </c>
      <c r="CU27" s="10" t="str">
        <f>_xlfn.XLOOKUP(A27,'United MAMP All Components'!A:A,'United MAMP All Components'!BA:BA)</f>
        <v>1,041,470.66</v>
      </c>
      <c r="CV27" s="10">
        <f t="shared" si="32"/>
        <v>-238834.89918548393</v>
      </c>
      <c r="CW27" s="10">
        <f>_xlfn.XLOOKUP(A27,'Icyte Report'!A:A,'Icyte Report'!DD:DD)</f>
        <v>38041791.381247208</v>
      </c>
      <c r="CX27" s="10" t="str">
        <f>_xlfn.XLOOKUP(A27,'United MAMP All Components'!A:A,'United MAMP All Components'!BD:BD)</f>
        <v>49,766,551.88</v>
      </c>
      <c r="CY27" s="10">
        <f t="shared" si="33"/>
        <v>-11724760.498752795</v>
      </c>
      <c r="CZ27" s="10">
        <f>_xlfn.XLOOKUP(A27,'Icyte Report'!A:A,'Icyte Report'!DE:DE)</f>
        <v>1744.4758064516129</v>
      </c>
      <c r="DA27" s="10" t="str">
        <f>_xlfn.XLOOKUP(A27,'United MAMP All Components'!A:A,'United MAMP All Components'!BE:BE)</f>
        <v>2,263.57</v>
      </c>
      <c r="DB27" s="10">
        <f t="shared" si="34"/>
        <v>-519.09419354838724</v>
      </c>
      <c r="DC27" s="10">
        <f>_xlfn.XLOOKUP(A27,'Icyte Report'!A:A,'Icyte Report'!DI:DI)</f>
        <v>21807.004282000002</v>
      </c>
      <c r="DD27" s="10" t="str">
        <f>_xlfn.XLOOKUP(A27,'United MAMP All Components'!A:A,'United MAMP All Components'!BG:BG)</f>
        <v>21,985.890747</v>
      </c>
      <c r="DE27" s="10">
        <f t="shared" si="35"/>
        <v>-178.88646499999959</v>
      </c>
    </row>
    <row r="28" spans="1:109" x14ac:dyDescent="0.35">
      <c r="A28" s="10" t="s">
        <v>211</v>
      </c>
      <c r="B28" s="10" t="s">
        <v>439</v>
      </c>
      <c r="C28" s="10">
        <f>_xlfn.XLOOKUP(A28,'Icyte Report'!A:A,'Icyte Report'!W:W)</f>
        <v>0</v>
      </c>
      <c r="D28" s="10" t="str">
        <f>_xlfn.XLOOKUP(A28,'United MAMP All Components'!A:A,'United MAMP All Components'!B:B)</f>
        <v>0.00</v>
      </c>
      <c r="E28" s="10">
        <f t="shared" si="0"/>
        <v>0</v>
      </c>
      <c r="F28" s="10">
        <f>_xlfn.XLOOKUP(A28,'Icyte Report'!A:A,'Icyte Report'!X:X)</f>
        <v>0</v>
      </c>
      <c r="G28" s="10" t="str">
        <f>_xlfn.XLOOKUP(A28,'United MAMP All Components'!A:A,'United MAMP All Components'!C:C)</f>
        <v>0.00</v>
      </c>
      <c r="H28" s="10">
        <f t="shared" si="1"/>
        <v>0</v>
      </c>
      <c r="I28" s="10">
        <f>_xlfn.XLOOKUP(A28,'Icyte Report'!A:A,'Icyte Report'!Y:Y)</f>
        <v>0</v>
      </c>
      <c r="J28" s="10" t="str">
        <f>_xlfn.XLOOKUP(A28,'United MAMP All Components'!A:A,'United MAMP All Components'!E:E)</f>
        <v>0.00</v>
      </c>
      <c r="K28" s="10">
        <f t="shared" si="2"/>
        <v>0</v>
      </c>
      <c r="L28" s="10">
        <f>_xlfn.XLOOKUP(A28,'Icyte Report'!A:A,'Icyte Report'!Z:Z)</f>
        <v>0</v>
      </c>
      <c r="M28" s="10" t="str">
        <f>_xlfn.XLOOKUP(A28,'United MAMP All Components'!A:A,'United MAMP All Components'!F:F)</f>
        <v>0.00</v>
      </c>
      <c r="N28" s="10">
        <f t="shared" si="3"/>
        <v>0</v>
      </c>
      <c r="O28" s="10">
        <f>_xlfn.XLOOKUP(A28,'Icyte Report'!A:A,'Icyte Report'!AA:AA)</f>
        <v>0</v>
      </c>
      <c r="P28" s="10" t="str">
        <f>_xlfn.XLOOKUP(A28,'United MAMP All Components'!A:A,'United MAMP All Components'!H:H)</f>
        <v>0.00</v>
      </c>
      <c r="Q28" s="10">
        <f t="shared" si="4"/>
        <v>0</v>
      </c>
      <c r="R28" s="10">
        <f>_xlfn.XLOOKUP(A28,'Icyte Report'!A:A,'Icyte Report'!AB:AB)</f>
        <v>0</v>
      </c>
      <c r="S28" s="10" t="str">
        <f>_xlfn.XLOOKUP(A28,'United MAMP All Components'!A:A,'United MAMP All Components'!I:I)</f>
        <v>0.00</v>
      </c>
      <c r="T28" s="10">
        <f t="shared" si="5"/>
        <v>0</v>
      </c>
      <c r="U28" s="10">
        <f>_xlfn.XLOOKUP(A28,'Icyte Report'!A:A,'Icyte Report'!AC:AC)</f>
        <v>0</v>
      </c>
      <c r="V28" s="10" t="str">
        <f>_xlfn.XLOOKUP(A28,'United MAMP All Components'!A:A,'United MAMP All Components'!K:K)</f>
        <v>0.00</v>
      </c>
      <c r="W28" s="10">
        <f t="shared" si="6"/>
        <v>0</v>
      </c>
      <c r="X28" s="10">
        <f>_xlfn.XLOOKUP(A28,'Icyte Report'!A:A,'Icyte Report'!AD:AD)</f>
        <v>0</v>
      </c>
      <c r="Y28" s="10" t="str">
        <f>_xlfn.XLOOKUP(A28,'United MAMP All Components'!A:A,'United MAMP All Components'!L:L)</f>
        <v>0.00</v>
      </c>
      <c r="Z28" s="10">
        <f t="shared" si="7"/>
        <v>0</v>
      </c>
      <c r="AA28" s="10">
        <f>_xlfn.XLOOKUP(A28,'Icyte Report'!A:A,'Icyte Report'!AE:AE)</f>
        <v>0</v>
      </c>
      <c r="AB28" s="10" t="str">
        <f>_xlfn.XLOOKUP(A28,'United MAMP All Components'!A:A,'United MAMP All Components'!N:N)</f>
        <v>0.00</v>
      </c>
      <c r="AC28" s="10">
        <f t="shared" si="8"/>
        <v>0</v>
      </c>
      <c r="AD28" s="10">
        <f>_xlfn.XLOOKUP(A28,'Icyte Report'!A:A,'Icyte Report'!AF:AF)</f>
        <v>0</v>
      </c>
      <c r="AE28" s="10" t="str">
        <f>_xlfn.XLOOKUP(A28,'United MAMP All Components'!A:A,'United MAMP All Components'!O:O)</f>
        <v>0.00</v>
      </c>
      <c r="AF28" s="10">
        <f t="shared" si="9"/>
        <v>0</v>
      </c>
      <c r="AG28" s="10">
        <f>_xlfn.XLOOKUP(A28,'Icyte Report'!A:A,'Icyte Report'!AG:AG)</f>
        <v>0</v>
      </c>
      <c r="AH28" s="10" t="str">
        <f>_xlfn.XLOOKUP(A28,'United MAMP All Components'!A:A,'United MAMP All Components'!Q:Q)</f>
        <v>0.00</v>
      </c>
      <c r="AI28" s="10">
        <f t="shared" si="10"/>
        <v>0</v>
      </c>
      <c r="AJ28" s="10">
        <f>_xlfn.XLOOKUP(A28,'Icyte Report'!A:A,'Icyte Report'!AH:AH)</f>
        <v>0</v>
      </c>
      <c r="AK28" s="10" t="str">
        <f>_xlfn.XLOOKUP(A28,'United MAMP All Components'!A:A,'United MAMP All Components'!R:R)</f>
        <v>0.00</v>
      </c>
      <c r="AL28" s="10">
        <f t="shared" si="11"/>
        <v>0</v>
      </c>
      <c r="AM28" s="10">
        <f>_xlfn.XLOOKUP(A28,'Icyte Report'!A:A,'Icyte Report'!AS:AS)</f>
        <v>0</v>
      </c>
      <c r="AN28" s="10" t="str">
        <f>_xlfn.XLOOKUP(A28,'United MAMP All Components'!A:A,'United MAMP All Components'!T:T)</f>
        <v>0.00</v>
      </c>
      <c r="AO28" s="10">
        <f t="shared" si="12"/>
        <v>0</v>
      </c>
      <c r="AP28" s="10">
        <f>_xlfn.XLOOKUP(A28,'Icyte Report'!A:A,'Icyte Report'!AT:AT)</f>
        <v>0</v>
      </c>
      <c r="AQ28" s="10" t="str">
        <f>_xlfn.XLOOKUP(A28,'United MAMP All Components'!A:A,'United MAMP All Components'!U:U)</f>
        <v>0.00</v>
      </c>
      <c r="AR28" s="10">
        <f t="shared" si="13"/>
        <v>0</v>
      </c>
      <c r="AS28" s="10">
        <f>_xlfn.XLOOKUP(A28,'Icyte Report'!A:A,'Icyte Report'!AU:AU)</f>
        <v>0</v>
      </c>
      <c r="AT28" s="10" t="str">
        <f>_xlfn.XLOOKUP(A28,'United MAMP All Components'!A:A,'United MAMP All Components'!AO:AO)</f>
        <v>0.00</v>
      </c>
      <c r="AU28" s="10">
        <f t="shared" si="14"/>
        <v>0</v>
      </c>
      <c r="AV28" s="10">
        <f>_xlfn.XLOOKUP(A28,'Icyte Report'!A:A,'Icyte Report'!AV:AV)</f>
        <v>0</v>
      </c>
      <c r="AW28" s="10" t="str">
        <f>_xlfn.XLOOKUP(A28,'United MAMP All Components'!A:A,'United MAMP All Components'!AP:AP)</f>
        <v>0.00</v>
      </c>
      <c r="AX28" s="10">
        <f t="shared" si="15"/>
        <v>0</v>
      </c>
      <c r="AY28" s="10">
        <f>_xlfn.XLOOKUP(A28,'Icyte Report'!A:A,'Icyte Report'!BH:BH)</f>
        <v>285</v>
      </c>
      <c r="AZ28" s="10" t="e">
        <f>_xlfn.XLOOKUP(A28,'United Smoothed Indirect Inelig'!A:A,'United Smoothed Indirect Inelig'!D:D)</f>
        <v>#N/A</v>
      </c>
      <c r="BA28" s="10" t="e">
        <f t="shared" si="16"/>
        <v>#N/A</v>
      </c>
      <c r="BB28" s="10">
        <f>_xlfn.XLOOKUP(A28,'Icyte Report'!A:A,'Icyte Report'!BK:BK)</f>
        <v>1556</v>
      </c>
      <c r="BC28" s="10" t="e">
        <f t="shared" si="17"/>
        <v>#N/A</v>
      </c>
      <c r="BD28" s="10">
        <f>_xlfn.XLOOKUP(A28,'Icyte Report'!A:A,'Icyte Report'!BN:BN)</f>
        <v>0</v>
      </c>
      <c r="BE28" s="10" t="e">
        <f>_xlfn.XLOOKUP(A28,'United Smoothed Indirect Inelig'!A:A,'United Smoothed Indirect Inelig'!C:C)</f>
        <v>#N/A</v>
      </c>
      <c r="BF28" s="10" t="e">
        <f t="shared" si="18"/>
        <v>#N/A</v>
      </c>
      <c r="BG28" s="10">
        <f>_xlfn.XLOOKUP(A28,'Icyte Report'!A:A,'Icyte Report'!BR:BR)</f>
        <v>0</v>
      </c>
      <c r="BH28" s="10" t="e">
        <f>_xlfn.XLOOKUP(A28,'United Smoothed Indirect Inelig'!A:A,'United Smoothed Indirect Inelig'!B:B)</f>
        <v>#N/A</v>
      </c>
      <c r="BI28" s="10" t="e">
        <f t="shared" si="19"/>
        <v>#N/A</v>
      </c>
      <c r="BJ28" s="10">
        <f>_xlfn.XLOOKUP(A28,'Icyte Report'!A:A,'Icyte Report'!BV:BV)</f>
        <v>0</v>
      </c>
      <c r="BK28" s="10" t="e">
        <f>_xlfn.XLOOKUP(A28,'United Smoothed Indirect Inelig'!A:A,'United Smoothed Indirect Inelig'!P:P)</f>
        <v>#N/A</v>
      </c>
      <c r="BL28" s="10" t="e">
        <f t="shared" si="20"/>
        <v>#N/A</v>
      </c>
      <c r="BM28" s="13">
        <f>_xlfn.XLOOKUP(A28,'Icyte Report'!A:A,'Icyte Report'!BW:BW)</f>
        <v>0.30791102191002001</v>
      </c>
      <c r="BN28" s="13" t="e">
        <f>_xlfn.XLOOKUP(A28,'United Smoothed Indirect Inelig'!A:A,'United Smoothed Indirect Inelig'!G:G)+_xlfn.XLOOKUP(A28,'United Smoothed Indirect Inelig'!A:A,'United Smoothed Indirect Inelig'!H:H) + _xlfn.XLOOKUP(A28,'United Smoothed Indirect Inelig'!A:A,'United Smoothed Indirect Inelig'!I:I)+_xlfn.XLOOKUP(A28,'United Smoothed Indirect Inelig'!A:A,'United Smoothed Indirect Inelig'!J:J)</f>
        <v>#N/A</v>
      </c>
      <c r="BO28" s="18" t="e">
        <f t="shared" si="21"/>
        <v>#N/A</v>
      </c>
      <c r="BP28" s="10">
        <f>_xlfn.XLOOKUP(A28,'Icyte Report'!A:A,'Icyte Report'!BY:BY)</f>
        <v>0</v>
      </c>
      <c r="BQ28" s="10" t="e">
        <f>_xlfn.XLOOKUP(A28,'United Smoothed Indirect Inelig'!A:A,'United Smoothed Indirect Inelig'!L:L)+_xlfn.XLOOKUP(A28,'United Smoothed Indirect Inelig'!A:A,'United Smoothed Indirect Inelig'!M:M) + _xlfn.XLOOKUP(A28,'United Smoothed Indirect Inelig'!A:A,'United Smoothed Indirect Inelig'!N:N)+_xlfn.XLOOKUP(A28,'United Smoothed Indirect Inelig'!A:A,'United Smoothed Indirect Inelig'!O:O)</f>
        <v>#N/A</v>
      </c>
      <c r="BR28" s="10" t="e">
        <f t="shared" si="22"/>
        <v>#N/A</v>
      </c>
      <c r="BS28" s="10">
        <f>_xlfn.XLOOKUP(A28,'Icyte Report'!A:A,'Icyte Report'!BZ:BZ)</f>
        <v>0</v>
      </c>
      <c r="BT28" s="10" t="str">
        <f>_xlfn.XLOOKUP(A28,'United MAMP All Components'!A:A,'United MAMP All Components'!AL:AL)</f>
        <v>0.00</v>
      </c>
      <c r="BU28" s="10">
        <f t="shared" si="23"/>
        <v>0</v>
      </c>
      <c r="BV28" s="26">
        <f>_xlfn.XLOOKUP(A28,'Icyte Report'!A:A,'Icyte Report'!CA:CA)</f>
        <v>0</v>
      </c>
      <c r="BW28" s="22" t="str">
        <f>_xlfn.XLOOKUP(A28,'United MAMP All Components'!A:A,'United MAMP All Components'!AM:AM)</f>
        <v>0.00</v>
      </c>
      <c r="BX28" s="10">
        <f t="shared" si="24"/>
        <v>0</v>
      </c>
      <c r="BY28" s="10">
        <f>_xlfn.XLOOKUP(A28,'Icyte Report'!A:A,'Icyte Report'!CD:CD)</f>
        <v>0</v>
      </c>
      <c r="BZ28" s="10" t="str">
        <f>_xlfn.XLOOKUP(A28,'United_Smoothed Price Concessio'!A:A,'United_Smoothed Price Concessio'!D:D)</f>
        <v>$0.00</v>
      </c>
      <c r="CA28" s="10">
        <f t="shared" si="25"/>
        <v>0</v>
      </c>
      <c r="CB28" s="10">
        <f>_xlfn.XLOOKUP(A28,'Icyte Report'!A:A,'Icyte Report'!CF:CF)</f>
        <v>5979</v>
      </c>
      <c r="CC28" s="10" t="e">
        <f>_xlfn.XLOOKUP(A28,'United Smoothed Indirect Inelig'!A:A,'United Smoothed Indirect Inelig'!F:F)</f>
        <v>#N/A</v>
      </c>
      <c r="CD28" s="10" t="e">
        <f t="shared" si="26"/>
        <v>#N/A</v>
      </c>
      <c r="CE28" s="10">
        <f>_xlfn.XLOOKUP(A28,'Icyte Report'!A:A,'Icyte Report'!CL:CL)</f>
        <v>134883843.59999999</v>
      </c>
      <c r="CF28" s="10" t="str">
        <f>_xlfn.XLOOKUP(A28,'United_Smoothed Price Concessio'!A:A,'United_Smoothed Price Concessio'!H:H)</f>
        <v>$97,693,256.50</v>
      </c>
      <c r="CG28" s="10">
        <f t="shared" si="27"/>
        <v>37190587.099999994</v>
      </c>
      <c r="CH28" s="10">
        <f>_xlfn.XLOOKUP(A28,'Icyte Report'!A:A,'Icyte Report'!CY:CY)</f>
        <v>2725966.7261903589</v>
      </c>
      <c r="CI28" s="10" t="str">
        <f>_xlfn.XLOOKUP(A28,'United_Smoothed Price Concessio'!A:A,'United_Smoothed Price Concessio'!C:C)</f>
        <v>$1,694,807.03</v>
      </c>
      <c r="CJ28" s="10">
        <f t="shared" si="28"/>
        <v>1031159.6961903588</v>
      </c>
      <c r="CK28" s="10">
        <f>_xlfn.XLOOKUP(A28,'Icyte Report'!A:A,'Icyte Report'!CZ:CZ)</f>
        <v>2725966.7261903589</v>
      </c>
      <c r="CL28" s="10" t="str">
        <f>_xlfn.XLOOKUP(A28,'United_Smoothed Price Concessio'!A:A,'United_Smoothed Price Concessio'!G:G)</f>
        <v>$2,506,260.44</v>
      </c>
      <c r="CM28" s="10">
        <f t="shared" si="29"/>
        <v>219706.28619035892</v>
      </c>
      <c r="CN28" s="13">
        <f>_xlfn.XLOOKUP(A28,'Icyte Report'!A:A,'Icyte Report'!DA:DA)</f>
        <v>2.0209734935149999E-2</v>
      </c>
      <c r="CO28" s="13" t="str">
        <f>_xlfn.XLOOKUP(A28,'United_Smoothed Price Concessio'!A:A,'United_Smoothed Price Concessio'!I:I)</f>
        <v>2.565439%</v>
      </c>
      <c r="CP28" s="10">
        <f t="shared" si="30"/>
        <v>-5.44465506485E-3</v>
      </c>
      <c r="CQ28" s="10">
        <f>_xlfn.XLOOKUP(A28,'Icyte Report'!A:A,'Icyte Report'!DB:DB)</f>
        <v>0</v>
      </c>
      <c r="CR28" s="10" t="str">
        <f>_xlfn.XLOOKUP(A28,'United MAMP All Components'!A:A,'United MAMP All Components'!AX:AX)</f>
        <v>251,584.67</v>
      </c>
      <c r="CS28" s="10">
        <f t="shared" si="31"/>
        <v>-251584.67</v>
      </c>
      <c r="CT28" s="10">
        <f>_xlfn.XLOOKUP(A28,'Icyte Report'!A:A,'Icyte Report'!DC:DC)</f>
        <v>0</v>
      </c>
      <c r="CU28" s="10" t="str">
        <f>_xlfn.XLOOKUP(A28,'United MAMP All Components'!A:A,'United MAMP All Components'!BA:BA)</f>
        <v>196,133.85</v>
      </c>
      <c r="CV28" s="10">
        <f t="shared" si="32"/>
        <v>-196133.85</v>
      </c>
      <c r="CW28" s="10">
        <f>_xlfn.XLOOKUP(A28,'Icyte Report'!A:A,'Icyte Report'!DD:DD)</f>
        <v>0</v>
      </c>
      <c r="CX28" s="10" t="str">
        <f>_xlfn.XLOOKUP(A28,'United MAMP All Components'!A:A,'United MAMP All Components'!BD:BD)</f>
        <v>9,358,974.02</v>
      </c>
      <c r="CY28" s="10">
        <f t="shared" si="33"/>
        <v>-9358974.0199999996</v>
      </c>
      <c r="CZ28" s="10">
        <f>_xlfn.XLOOKUP(A28,'Icyte Report'!A:A,'Icyte Report'!DE:DE)</f>
        <v>0</v>
      </c>
      <c r="DA28" s="10" t="str">
        <f>_xlfn.XLOOKUP(A28,'United MAMP All Components'!A:A,'United MAMP All Components'!BE:BE)</f>
        <v>426.28</v>
      </c>
      <c r="DB28" s="10">
        <f t="shared" si="34"/>
        <v>-426.28</v>
      </c>
      <c r="DC28" s="10">
        <f>_xlfn.XLOOKUP(A28,'Icyte Report'!A:A,'Icyte Report'!DI:DI)</f>
        <v>21873.245650000001</v>
      </c>
      <c r="DD28" s="10" t="str">
        <f>_xlfn.XLOOKUP(A28,'United MAMP All Components'!A:A,'United MAMP All Components'!BG:BG)</f>
        <v>21,954.787671</v>
      </c>
      <c r="DE28" s="10">
        <f t="shared" si="35"/>
        <v>-81.542020999997476</v>
      </c>
    </row>
    <row r="29" spans="1:109" x14ac:dyDescent="0.35">
      <c r="A29" s="10" t="s">
        <v>215</v>
      </c>
      <c r="B29" s="10" t="s">
        <v>440</v>
      </c>
      <c r="C29" s="10">
        <f>_xlfn.XLOOKUP(A29,'Icyte Report'!A:A,'Icyte Report'!W:W)</f>
        <v>0</v>
      </c>
      <c r="D29" s="10" t="str">
        <f>_xlfn.XLOOKUP(A29,'United MAMP All Components'!A:A,'United MAMP All Components'!B:B)</f>
        <v>0.00</v>
      </c>
      <c r="E29" s="10">
        <f t="shared" si="0"/>
        <v>0</v>
      </c>
      <c r="F29" s="10">
        <f>_xlfn.XLOOKUP(A29,'Icyte Report'!A:A,'Icyte Report'!X:X)</f>
        <v>0</v>
      </c>
      <c r="G29" s="10" t="str">
        <f>_xlfn.XLOOKUP(A29,'United MAMP All Components'!A:A,'United MAMP All Components'!C:C)</f>
        <v>0.00</v>
      </c>
      <c r="H29" s="10">
        <f t="shared" si="1"/>
        <v>0</v>
      </c>
      <c r="I29" s="10">
        <f>_xlfn.XLOOKUP(A29,'Icyte Report'!A:A,'Icyte Report'!Y:Y)</f>
        <v>0</v>
      </c>
      <c r="J29" s="10" t="str">
        <f>_xlfn.XLOOKUP(A29,'United MAMP All Components'!A:A,'United MAMP All Components'!E:E)</f>
        <v>0.00</v>
      </c>
      <c r="K29" s="10">
        <f t="shared" si="2"/>
        <v>0</v>
      </c>
      <c r="L29" s="10">
        <f>_xlfn.XLOOKUP(A29,'Icyte Report'!A:A,'Icyte Report'!Z:Z)</f>
        <v>0</v>
      </c>
      <c r="M29" s="10" t="str">
        <f>_xlfn.XLOOKUP(A29,'United MAMP All Components'!A:A,'United MAMP All Components'!F:F)</f>
        <v>0.00</v>
      </c>
      <c r="N29" s="10">
        <f t="shared" si="3"/>
        <v>0</v>
      </c>
      <c r="O29" s="10">
        <f>_xlfn.XLOOKUP(A29,'Icyte Report'!A:A,'Icyte Report'!AA:AA)</f>
        <v>0</v>
      </c>
      <c r="P29" s="10" t="str">
        <f>_xlfn.XLOOKUP(A29,'United MAMP All Components'!A:A,'United MAMP All Components'!H:H)</f>
        <v>0.00</v>
      </c>
      <c r="Q29" s="10">
        <f t="shared" si="4"/>
        <v>0</v>
      </c>
      <c r="R29" s="10">
        <f>_xlfn.XLOOKUP(A29,'Icyte Report'!A:A,'Icyte Report'!AB:AB)</f>
        <v>0</v>
      </c>
      <c r="S29" s="10" t="str">
        <f>_xlfn.XLOOKUP(A29,'United MAMP All Components'!A:A,'United MAMP All Components'!I:I)</f>
        <v>0.00</v>
      </c>
      <c r="T29" s="10">
        <f t="shared" si="5"/>
        <v>0</v>
      </c>
      <c r="U29" s="10">
        <f>_xlfn.XLOOKUP(A29,'Icyte Report'!A:A,'Icyte Report'!AC:AC)</f>
        <v>0</v>
      </c>
      <c r="V29" s="10" t="str">
        <f>_xlfn.XLOOKUP(A29,'United MAMP All Components'!A:A,'United MAMP All Components'!K:K)</f>
        <v>0.00</v>
      </c>
      <c r="W29" s="10">
        <f t="shared" si="6"/>
        <v>0</v>
      </c>
      <c r="X29" s="10">
        <f>_xlfn.XLOOKUP(A29,'Icyte Report'!A:A,'Icyte Report'!AD:AD)</f>
        <v>0</v>
      </c>
      <c r="Y29" s="10" t="str">
        <f>_xlfn.XLOOKUP(A29,'United MAMP All Components'!A:A,'United MAMP All Components'!L:L)</f>
        <v>0.00</v>
      </c>
      <c r="Z29" s="10">
        <f t="shared" si="7"/>
        <v>0</v>
      </c>
      <c r="AA29" s="10">
        <f>_xlfn.XLOOKUP(A29,'Icyte Report'!A:A,'Icyte Report'!AE:AE)</f>
        <v>0</v>
      </c>
      <c r="AB29" s="10" t="str">
        <f>_xlfn.XLOOKUP(A29,'United MAMP All Components'!A:A,'United MAMP All Components'!N:N)</f>
        <v>0.00</v>
      </c>
      <c r="AC29" s="10">
        <f t="shared" si="8"/>
        <v>0</v>
      </c>
      <c r="AD29" s="10">
        <f>_xlfn.XLOOKUP(A29,'Icyte Report'!A:A,'Icyte Report'!AF:AF)</f>
        <v>0</v>
      </c>
      <c r="AE29" s="10" t="str">
        <f>_xlfn.XLOOKUP(A29,'United MAMP All Components'!A:A,'United MAMP All Components'!O:O)</f>
        <v>0.00</v>
      </c>
      <c r="AF29" s="10">
        <f t="shared" si="9"/>
        <v>0</v>
      </c>
      <c r="AG29" s="10">
        <f>_xlfn.XLOOKUP(A29,'Icyte Report'!A:A,'Icyte Report'!AG:AG)</f>
        <v>0</v>
      </c>
      <c r="AH29" s="10" t="str">
        <f>_xlfn.XLOOKUP(A29,'United MAMP All Components'!A:A,'United MAMP All Components'!Q:Q)</f>
        <v>0.00</v>
      </c>
      <c r="AI29" s="10">
        <f t="shared" si="10"/>
        <v>0</v>
      </c>
      <c r="AJ29" s="10">
        <f>_xlfn.XLOOKUP(A29,'Icyte Report'!A:A,'Icyte Report'!AH:AH)</f>
        <v>0</v>
      </c>
      <c r="AK29" s="10" t="str">
        <f>_xlfn.XLOOKUP(A29,'United MAMP All Components'!A:A,'United MAMP All Components'!R:R)</f>
        <v>0.00</v>
      </c>
      <c r="AL29" s="10">
        <f t="shared" si="11"/>
        <v>0</v>
      </c>
      <c r="AM29" s="10">
        <f>_xlfn.XLOOKUP(A29,'Icyte Report'!A:A,'Icyte Report'!AS:AS)</f>
        <v>0</v>
      </c>
      <c r="AN29" s="10" t="str">
        <f>_xlfn.XLOOKUP(A29,'United MAMP All Components'!A:A,'United MAMP All Components'!T:T)</f>
        <v>0.00</v>
      </c>
      <c r="AO29" s="10">
        <f t="shared" si="12"/>
        <v>0</v>
      </c>
      <c r="AP29" s="10">
        <f>_xlfn.XLOOKUP(A29,'Icyte Report'!A:A,'Icyte Report'!AT:AT)</f>
        <v>0</v>
      </c>
      <c r="AQ29" s="10" t="str">
        <f>_xlfn.XLOOKUP(A29,'United MAMP All Components'!A:A,'United MAMP All Components'!U:U)</f>
        <v>0.00</v>
      </c>
      <c r="AR29" s="10">
        <f t="shared" si="13"/>
        <v>0</v>
      </c>
      <c r="AS29" s="10">
        <f>_xlfn.XLOOKUP(A29,'Icyte Report'!A:A,'Icyte Report'!AU:AU)</f>
        <v>0</v>
      </c>
      <c r="AT29" s="10" t="str">
        <f>_xlfn.XLOOKUP(A29,'United MAMP All Components'!A:A,'United MAMP All Components'!AO:AO)</f>
        <v>0.00</v>
      </c>
      <c r="AU29" s="10">
        <f t="shared" si="14"/>
        <v>0</v>
      </c>
      <c r="AV29" s="10">
        <f>_xlfn.XLOOKUP(A29,'Icyte Report'!A:A,'Icyte Report'!AV:AV)</f>
        <v>0</v>
      </c>
      <c r="AW29" s="10" t="str">
        <f>_xlfn.XLOOKUP(A29,'United MAMP All Components'!A:A,'United MAMP All Components'!AP:AP)</f>
        <v>0.00</v>
      </c>
      <c r="AX29" s="10">
        <f t="shared" si="15"/>
        <v>0</v>
      </c>
      <c r="AY29" s="10">
        <f>_xlfn.XLOOKUP(A29,'Icyte Report'!A:A,'Icyte Report'!BH:BH)</f>
        <v>497</v>
      </c>
      <c r="AZ29" s="10" t="e">
        <f>_xlfn.XLOOKUP(A29,'United Smoothed Indirect Inelig'!A:A,'United Smoothed Indirect Inelig'!D:D)</f>
        <v>#N/A</v>
      </c>
      <c r="BA29" s="10" t="e">
        <f t="shared" si="16"/>
        <v>#N/A</v>
      </c>
      <c r="BB29" s="10">
        <f>_xlfn.XLOOKUP(A29,'Icyte Report'!A:A,'Icyte Report'!BK:BK)</f>
        <v>4621</v>
      </c>
      <c r="BC29" s="10" t="e">
        <f t="shared" si="17"/>
        <v>#N/A</v>
      </c>
      <c r="BD29" s="10">
        <f>_xlfn.XLOOKUP(A29,'Icyte Report'!A:A,'Icyte Report'!BN:BN)</f>
        <v>0</v>
      </c>
      <c r="BE29" s="10" t="e">
        <f>_xlfn.XLOOKUP(A29,'United Smoothed Indirect Inelig'!A:A,'United Smoothed Indirect Inelig'!C:C)</f>
        <v>#N/A</v>
      </c>
      <c r="BF29" s="10" t="e">
        <f t="shared" si="18"/>
        <v>#N/A</v>
      </c>
      <c r="BG29" s="10">
        <f>_xlfn.XLOOKUP(A29,'Icyte Report'!A:A,'Icyte Report'!BR:BR)</f>
        <v>0</v>
      </c>
      <c r="BH29" s="10" t="e">
        <f>_xlfn.XLOOKUP(A29,'United Smoothed Indirect Inelig'!A:A,'United Smoothed Indirect Inelig'!B:B)</f>
        <v>#N/A</v>
      </c>
      <c r="BI29" s="10" t="e">
        <f t="shared" si="19"/>
        <v>#N/A</v>
      </c>
      <c r="BJ29" s="10">
        <f>_xlfn.XLOOKUP(A29,'Icyte Report'!A:A,'Icyte Report'!BV:BV)</f>
        <v>0</v>
      </c>
      <c r="BK29" s="10" t="e">
        <f>_xlfn.XLOOKUP(A29,'United Smoothed Indirect Inelig'!A:A,'United Smoothed Indirect Inelig'!P:P)</f>
        <v>#N/A</v>
      </c>
      <c r="BL29" s="10" t="e">
        <f t="shared" si="20"/>
        <v>#N/A</v>
      </c>
      <c r="BM29" s="13">
        <f>_xlfn.XLOOKUP(A29,'Icyte Report'!A:A,'Icyte Report'!BW:BW)</f>
        <v>0.42297520661157001</v>
      </c>
      <c r="BN29" s="13" t="e">
        <f>_xlfn.XLOOKUP(A29,'United Smoothed Indirect Inelig'!A:A,'United Smoothed Indirect Inelig'!G:G)+_xlfn.XLOOKUP(A29,'United Smoothed Indirect Inelig'!A:A,'United Smoothed Indirect Inelig'!H:H) + _xlfn.XLOOKUP(A29,'United Smoothed Indirect Inelig'!A:A,'United Smoothed Indirect Inelig'!I:I)+_xlfn.XLOOKUP(A29,'United Smoothed Indirect Inelig'!A:A,'United Smoothed Indirect Inelig'!J:J)</f>
        <v>#N/A</v>
      </c>
      <c r="BO29" s="18" t="e">
        <f t="shared" si="21"/>
        <v>#N/A</v>
      </c>
      <c r="BP29" s="10">
        <f>_xlfn.XLOOKUP(A29,'Icyte Report'!A:A,'Icyte Report'!BY:BY)</f>
        <v>0</v>
      </c>
      <c r="BQ29" s="10" t="e">
        <f>_xlfn.XLOOKUP(A29,'United Smoothed Indirect Inelig'!A:A,'United Smoothed Indirect Inelig'!L:L)+_xlfn.XLOOKUP(A29,'United Smoothed Indirect Inelig'!A:A,'United Smoothed Indirect Inelig'!M:M) + _xlfn.XLOOKUP(A29,'United Smoothed Indirect Inelig'!A:A,'United Smoothed Indirect Inelig'!N:N)+_xlfn.XLOOKUP(A29,'United Smoothed Indirect Inelig'!A:A,'United Smoothed Indirect Inelig'!O:O)</f>
        <v>#N/A</v>
      </c>
      <c r="BR29" s="10" t="e">
        <f t="shared" si="22"/>
        <v>#N/A</v>
      </c>
      <c r="BS29" s="10">
        <f>_xlfn.XLOOKUP(A29,'Icyte Report'!A:A,'Icyte Report'!BZ:BZ)</f>
        <v>0</v>
      </c>
      <c r="BT29" s="10" t="str">
        <f>_xlfn.XLOOKUP(A29,'United MAMP All Components'!A:A,'United MAMP All Components'!AL:AL)</f>
        <v>0.00</v>
      </c>
      <c r="BU29" s="10">
        <f t="shared" si="23"/>
        <v>0</v>
      </c>
      <c r="BV29" s="26">
        <f>_xlfn.XLOOKUP(A29,'Icyte Report'!A:A,'Icyte Report'!CA:CA)</f>
        <v>0</v>
      </c>
      <c r="BW29" s="22" t="str">
        <f>_xlfn.XLOOKUP(A29,'United MAMP All Components'!A:A,'United MAMP All Components'!AM:AM)</f>
        <v>0.00</v>
      </c>
      <c r="BX29" s="10">
        <f t="shared" si="24"/>
        <v>0</v>
      </c>
      <c r="BY29" s="10">
        <f>_xlfn.XLOOKUP(A29,'Icyte Report'!A:A,'Icyte Report'!CD:CD)</f>
        <v>0</v>
      </c>
      <c r="BZ29" s="10" t="str">
        <f>_xlfn.XLOOKUP(A29,'United_Smoothed Price Concessio'!A:A,'United_Smoothed Price Concessio'!D:D)</f>
        <v>$0.00</v>
      </c>
      <c r="CA29" s="10">
        <f t="shared" si="25"/>
        <v>0</v>
      </c>
      <c r="CB29" s="10">
        <f>_xlfn.XLOOKUP(A29,'Icyte Report'!A:A,'Icyte Report'!CF:CF)</f>
        <v>12100</v>
      </c>
      <c r="CC29" s="10" t="e">
        <f>_xlfn.XLOOKUP(A29,'United Smoothed Indirect Inelig'!A:A,'United Smoothed Indirect Inelig'!F:F)</f>
        <v>#N/A</v>
      </c>
      <c r="CD29" s="10" t="e">
        <f t="shared" si="26"/>
        <v>#N/A</v>
      </c>
      <c r="CE29" s="10">
        <f>_xlfn.XLOOKUP(A29,'Icyte Report'!A:A,'Icyte Report'!CL:CL)</f>
        <v>272859446.19999999</v>
      </c>
      <c r="CF29" s="10" t="str">
        <f>_xlfn.XLOOKUP(A29,'United_Smoothed Price Concessio'!A:A,'United_Smoothed Price Concessio'!H:H)</f>
        <v>$176,648,621.71</v>
      </c>
      <c r="CG29" s="10">
        <f t="shared" si="27"/>
        <v>96210824.48999998</v>
      </c>
      <c r="CH29" s="10">
        <f>_xlfn.XLOOKUP(A29,'Icyte Report'!A:A,'Icyte Report'!CY:CY)</f>
        <v>4751295.479175807</v>
      </c>
      <c r="CI29" s="10" t="str">
        <f>_xlfn.XLOOKUP(A29,'United_Smoothed Price Concessio'!A:A,'United_Smoothed Price Concessio'!C:C)</f>
        <v>$3,164,427.11</v>
      </c>
      <c r="CJ29" s="10">
        <f t="shared" si="28"/>
        <v>1586868.3691758071</v>
      </c>
      <c r="CK29" s="10">
        <f>_xlfn.XLOOKUP(A29,'Icyte Report'!A:A,'Icyte Report'!CZ:CZ)</f>
        <v>4751295.479175807</v>
      </c>
      <c r="CL29" s="10" t="str">
        <f>_xlfn.XLOOKUP(A29,'United_Smoothed Price Concessio'!A:A,'United_Smoothed Price Concessio'!G:G)</f>
        <v>$4,796,569.61</v>
      </c>
      <c r="CM29" s="10">
        <f t="shared" si="29"/>
        <v>-45274.130824193358</v>
      </c>
      <c r="CN29" s="13">
        <f>_xlfn.XLOOKUP(A29,'Icyte Report'!A:A,'Icyte Report'!DA:DA)</f>
        <v>1.7412977799909999E-2</v>
      </c>
      <c r="CO29" s="13" t="str">
        <f>_xlfn.XLOOKUP(A29,'United_Smoothed Price Concessio'!A:A,'United_Smoothed Price Concessio'!I:I)</f>
        <v>2.715317%</v>
      </c>
      <c r="CP29" s="10">
        <f t="shared" si="30"/>
        <v>-9.7401922000900018E-3</v>
      </c>
      <c r="CQ29" s="10">
        <f>_xlfn.XLOOKUP(A29,'Icyte Report'!A:A,'Icyte Report'!DB:DB)</f>
        <v>0</v>
      </c>
      <c r="CR29" s="10" t="str">
        <f>_xlfn.XLOOKUP(A29,'United MAMP All Components'!A:A,'United MAMP All Components'!AX:AX)</f>
        <v>474,644.22</v>
      </c>
      <c r="CS29" s="10">
        <f t="shared" si="31"/>
        <v>-474644.22</v>
      </c>
      <c r="CT29" s="10">
        <f>_xlfn.XLOOKUP(A29,'Icyte Report'!A:A,'Icyte Report'!DC:DC)</f>
        <v>0</v>
      </c>
      <c r="CU29" s="10" t="str">
        <f>_xlfn.XLOOKUP(A29,'United MAMP All Components'!A:A,'United MAMP All Components'!BA:BA)</f>
        <v>349,605.04</v>
      </c>
      <c r="CV29" s="10">
        <f t="shared" si="32"/>
        <v>-349605.04</v>
      </c>
      <c r="CW29" s="10">
        <f>_xlfn.XLOOKUP(A29,'Icyte Report'!A:A,'Icyte Report'!DD:DD)</f>
        <v>0</v>
      </c>
      <c r="CX29" s="10" t="str">
        <f>_xlfn.XLOOKUP(A29,'United MAMP All Components'!A:A,'United MAMP All Components'!BD:BD)</f>
        <v>16,656,002.98</v>
      </c>
      <c r="CY29" s="10">
        <f t="shared" si="33"/>
        <v>-16656002.98</v>
      </c>
      <c r="CZ29" s="10">
        <f>_xlfn.XLOOKUP(A29,'Icyte Report'!A:A,'Icyte Report'!DE:DE)</f>
        <v>0</v>
      </c>
      <c r="DA29" s="10" t="str">
        <f>_xlfn.XLOOKUP(A29,'United MAMP All Components'!A:A,'United MAMP All Components'!BE:BE)</f>
        <v>759.84</v>
      </c>
      <c r="DB29" s="10">
        <f t="shared" si="34"/>
        <v>-759.84</v>
      </c>
      <c r="DC29" s="10">
        <f>_xlfn.XLOOKUP(A29,'Icyte Report'!A:A,'Icyte Report'!DI:DI)</f>
        <v>21850.616707000001</v>
      </c>
      <c r="DD29" s="10" t="str">
        <f>_xlfn.XLOOKUP(A29,'United MAMP All Components'!A:A,'United MAMP All Components'!BG:BG)</f>
        <v>21,920.308081</v>
      </c>
      <c r="DE29" s="10">
        <f t="shared" si="35"/>
        <v>-69.691373999998177</v>
      </c>
    </row>
    <row r="30" spans="1:109" x14ac:dyDescent="0.35">
      <c r="A30" s="10" t="s">
        <v>219</v>
      </c>
      <c r="B30" s="10" t="s">
        <v>441</v>
      </c>
      <c r="C30" s="10">
        <f>_xlfn.XLOOKUP(A30,'Icyte Report'!A:A,'Icyte Report'!W:W)</f>
        <v>0</v>
      </c>
      <c r="D30" s="10" t="str">
        <f>_xlfn.XLOOKUP(A30,'United MAMP All Components'!A:A,'United MAMP All Components'!B:B)</f>
        <v>0.00</v>
      </c>
      <c r="E30" s="10">
        <f t="shared" si="0"/>
        <v>0</v>
      </c>
      <c r="F30" s="10">
        <f>_xlfn.XLOOKUP(A30,'Icyte Report'!A:A,'Icyte Report'!X:X)</f>
        <v>0</v>
      </c>
      <c r="G30" s="10" t="str">
        <f>_xlfn.XLOOKUP(A30,'United MAMP All Components'!A:A,'United MAMP All Components'!C:C)</f>
        <v>0.00</v>
      </c>
      <c r="H30" s="10">
        <f t="shared" si="1"/>
        <v>0</v>
      </c>
      <c r="I30" s="10">
        <f>_xlfn.XLOOKUP(A30,'Icyte Report'!A:A,'Icyte Report'!Y:Y)</f>
        <v>0</v>
      </c>
      <c r="J30" s="10" t="str">
        <f>_xlfn.XLOOKUP(A30,'United MAMP All Components'!A:A,'United MAMP All Components'!E:E)</f>
        <v>0.00</v>
      </c>
      <c r="K30" s="10">
        <f t="shared" si="2"/>
        <v>0</v>
      </c>
      <c r="L30" s="10">
        <f>_xlfn.XLOOKUP(A30,'Icyte Report'!A:A,'Icyte Report'!Z:Z)</f>
        <v>0</v>
      </c>
      <c r="M30" s="10" t="str">
        <f>_xlfn.XLOOKUP(A30,'United MAMP All Components'!A:A,'United MAMP All Components'!F:F)</f>
        <v>0.00</v>
      </c>
      <c r="N30" s="10">
        <f t="shared" si="3"/>
        <v>0</v>
      </c>
      <c r="O30" s="10">
        <f>_xlfn.XLOOKUP(A30,'Icyte Report'!A:A,'Icyte Report'!AA:AA)</f>
        <v>0</v>
      </c>
      <c r="P30" s="10" t="str">
        <f>_xlfn.XLOOKUP(A30,'United MAMP All Components'!A:A,'United MAMP All Components'!H:H)</f>
        <v>0.00</v>
      </c>
      <c r="Q30" s="10">
        <f t="shared" si="4"/>
        <v>0</v>
      </c>
      <c r="R30" s="10">
        <f>_xlfn.XLOOKUP(A30,'Icyte Report'!A:A,'Icyte Report'!AB:AB)</f>
        <v>0</v>
      </c>
      <c r="S30" s="10" t="str">
        <f>_xlfn.XLOOKUP(A30,'United MAMP All Components'!A:A,'United MAMP All Components'!I:I)</f>
        <v>0.00</v>
      </c>
      <c r="T30" s="10">
        <f t="shared" si="5"/>
        <v>0</v>
      </c>
      <c r="U30" s="10">
        <f>_xlfn.XLOOKUP(A30,'Icyte Report'!A:A,'Icyte Report'!AC:AC)</f>
        <v>0</v>
      </c>
      <c r="V30" s="10" t="str">
        <f>_xlfn.XLOOKUP(A30,'United MAMP All Components'!A:A,'United MAMP All Components'!K:K)</f>
        <v>0.00</v>
      </c>
      <c r="W30" s="10">
        <f t="shared" si="6"/>
        <v>0</v>
      </c>
      <c r="X30" s="10">
        <f>_xlfn.XLOOKUP(A30,'Icyte Report'!A:A,'Icyte Report'!AD:AD)</f>
        <v>0</v>
      </c>
      <c r="Y30" s="10" t="str">
        <f>_xlfn.XLOOKUP(A30,'United MAMP All Components'!A:A,'United MAMP All Components'!L:L)</f>
        <v>0.00</v>
      </c>
      <c r="Z30" s="10">
        <f t="shared" si="7"/>
        <v>0</v>
      </c>
      <c r="AA30" s="10">
        <f>_xlfn.XLOOKUP(A30,'Icyte Report'!A:A,'Icyte Report'!AE:AE)</f>
        <v>0</v>
      </c>
      <c r="AB30" s="10" t="str">
        <f>_xlfn.XLOOKUP(A30,'United MAMP All Components'!A:A,'United MAMP All Components'!N:N)</f>
        <v>0.00</v>
      </c>
      <c r="AC30" s="10">
        <f t="shared" si="8"/>
        <v>0</v>
      </c>
      <c r="AD30" s="10">
        <f>_xlfn.XLOOKUP(A30,'Icyte Report'!A:A,'Icyte Report'!AF:AF)</f>
        <v>0</v>
      </c>
      <c r="AE30" s="10" t="str">
        <f>_xlfn.XLOOKUP(A30,'United MAMP All Components'!A:A,'United MAMP All Components'!O:O)</f>
        <v>0.00</v>
      </c>
      <c r="AF30" s="10">
        <f t="shared" si="9"/>
        <v>0</v>
      </c>
      <c r="AG30" s="10">
        <f>_xlfn.XLOOKUP(A30,'Icyte Report'!A:A,'Icyte Report'!AG:AG)</f>
        <v>0</v>
      </c>
      <c r="AH30" s="10" t="str">
        <f>_xlfn.XLOOKUP(A30,'United MAMP All Components'!A:A,'United MAMP All Components'!Q:Q)</f>
        <v>0.00</v>
      </c>
      <c r="AI30" s="10">
        <f t="shared" si="10"/>
        <v>0</v>
      </c>
      <c r="AJ30" s="10">
        <f>_xlfn.XLOOKUP(A30,'Icyte Report'!A:A,'Icyte Report'!AH:AH)</f>
        <v>0</v>
      </c>
      <c r="AK30" s="10" t="str">
        <f>_xlfn.XLOOKUP(A30,'United MAMP All Components'!A:A,'United MAMP All Components'!R:R)</f>
        <v>0.00</v>
      </c>
      <c r="AL30" s="10">
        <f t="shared" si="11"/>
        <v>0</v>
      </c>
      <c r="AM30" s="10">
        <f>_xlfn.XLOOKUP(A30,'Icyte Report'!A:A,'Icyte Report'!AS:AS)</f>
        <v>0</v>
      </c>
      <c r="AN30" s="10" t="str">
        <f>_xlfn.XLOOKUP(A30,'United MAMP All Components'!A:A,'United MAMP All Components'!T:T)</f>
        <v>0.00</v>
      </c>
      <c r="AO30" s="10">
        <f t="shared" si="12"/>
        <v>0</v>
      </c>
      <c r="AP30" s="10">
        <f>_xlfn.XLOOKUP(A30,'Icyte Report'!A:A,'Icyte Report'!AT:AT)</f>
        <v>0</v>
      </c>
      <c r="AQ30" s="10" t="str">
        <f>_xlfn.XLOOKUP(A30,'United MAMP All Components'!A:A,'United MAMP All Components'!U:U)</f>
        <v>0.00</v>
      </c>
      <c r="AR30" s="10">
        <f t="shared" si="13"/>
        <v>0</v>
      </c>
      <c r="AS30" s="10">
        <f>_xlfn.XLOOKUP(A30,'Icyte Report'!A:A,'Icyte Report'!AU:AU)</f>
        <v>0</v>
      </c>
      <c r="AT30" s="10" t="str">
        <f>_xlfn.XLOOKUP(A30,'United MAMP All Components'!A:A,'United MAMP All Components'!AO:AO)</f>
        <v>0.00</v>
      </c>
      <c r="AU30" s="10">
        <f t="shared" si="14"/>
        <v>0</v>
      </c>
      <c r="AV30" s="10">
        <f>_xlfn.XLOOKUP(A30,'Icyte Report'!A:A,'Icyte Report'!AV:AV)</f>
        <v>0</v>
      </c>
      <c r="AW30" s="10" t="str">
        <f>_xlfn.XLOOKUP(A30,'United MAMP All Components'!A:A,'United MAMP All Components'!AP:AP)</f>
        <v>0.00</v>
      </c>
      <c r="AX30" s="10">
        <f t="shared" si="15"/>
        <v>0</v>
      </c>
      <c r="AY30" s="10">
        <f>_xlfn.XLOOKUP(A30,'Icyte Report'!A:A,'Icyte Report'!BH:BH)</f>
        <v>580</v>
      </c>
      <c r="AZ30" s="10" t="e">
        <f>_xlfn.XLOOKUP(A30,'United Smoothed Indirect Inelig'!A:A,'United Smoothed Indirect Inelig'!D:D)</f>
        <v>#N/A</v>
      </c>
      <c r="BA30" s="10" t="e">
        <f t="shared" si="16"/>
        <v>#N/A</v>
      </c>
      <c r="BB30" s="10">
        <f>_xlfn.XLOOKUP(A30,'Icyte Report'!A:A,'Icyte Report'!BK:BK)</f>
        <v>835</v>
      </c>
      <c r="BC30" s="10" t="e">
        <f t="shared" si="17"/>
        <v>#N/A</v>
      </c>
      <c r="BD30" s="10">
        <f>_xlfn.XLOOKUP(A30,'Icyte Report'!A:A,'Icyte Report'!BN:BN)</f>
        <v>0</v>
      </c>
      <c r="BE30" s="10" t="e">
        <f>_xlfn.XLOOKUP(A30,'United Smoothed Indirect Inelig'!A:A,'United Smoothed Indirect Inelig'!C:C)</f>
        <v>#N/A</v>
      </c>
      <c r="BF30" s="10" t="e">
        <f t="shared" si="18"/>
        <v>#N/A</v>
      </c>
      <c r="BG30" s="10">
        <f>_xlfn.XLOOKUP(A30,'Icyte Report'!A:A,'Icyte Report'!BR:BR)</f>
        <v>0</v>
      </c>
      <c r="BH30" s="10" t="e">
        <f>_xlfn.XLOOKUP(A30,'United Smoothed Indirect Inelig'!A:A,'United Smoothed Indirect Inelig'!B:B)</f>
        <v>#N/A</v>
      </c>
      <c r="BI30" s="10" t="e">
        <f t="shared" si="19"/>
        <v>#N/A</v>
      </c>
      <c r="BJ30" s="10">
        <f>_xlfn.XLOOKUP(A30,'Icyte Report'!A:A,'Icyte Report'!BV:BV)</f>
        <v>0</v>
      </c>
      <c r="BK30" s="10" t="e">
        <f>_xlfn.XLOOKUP(A30,'United Smoothed Indirect Inelig'!A:A,'United Smoothed Indirect Inelig'!P:P)</f>
        <v>#N/A</v>
      </c>
      <c r="BL30" s="10" t="e">
        <f t="shared" si="20"/>
        <v>#N/A</v>
      </c>
      <c r="BM30" s="13">
        <f>_xlfn.XLOOKUP(A30,'Icyte Report'!A:A,'Icyte Report'!BW:BW)</f>
        <v>6.7125237191650006E-2</v>
      </c>
      <c r="BN30" s="13" t="e">
        <f>_xlfn.XLOOKUP(A30,'United Smoothed Indirect Inelig'!A:A,'United Smoothed Indirect Inelig'!G:G)+_xlfn.XLOOKUP(A30,'United Smoothed Indirect Inelig'!A:A,'United Smoothed Indirect Inelig'!H:H) + _xlfn.XLOOKUP(A30,'United Smoothed Indirect Inelig'!A:A,'United Smoothed Indirect Inelig'!I:I)+_xlfn.XLOOKUP(A30,'United Smoothed Indirect Inelig'!A:A,'United Smoothed Indirect Inelig'!J:J)</f>
        <v>#N/A</v>
      </c>
      <c r="BO30" s="18" t="e">
        <f t="shared" si="21"/>
        <v>#N/A</v>
      </c>
      <c r="BP30" s="10">
        <f>_xlfn.XLOOKUP(A30,'Icyte Report'!A:A,'Icyte Report'!BY:BY)</f>
        <v>0</v>
      </c>
      <c r="BQ30" s="10" t="e">
        <f>_xlfn.XLOOKUP(A30,'United Smoothed Indirect Inelig'!A:A,'United Smoothed Indirect Inelig'!L:L)+_xlfn.XLOOKUP(A30,'United Smoothed Indirect Inelig'!A:A,'United Smoothed Indirect Inelig'!M:M) + _xlfn.XLOOKUP(A30,'United Smoothed Indirect Inelig'!A:A,'United Smoothed Indirect Inelig'!N:N)+_xlfn.XLOOKUP(A30,'United Smoothed Indirect Inelig'!A:A,'United Smoothed Indirect Inelig'!O:O)</f>
        <v>#N/A</v>
      </c>
      <c r="BR30" s="10" t="e">
        <f t="shared" si="22"/>
        <v>#N/A</v>
      </c>
      <c r="BS30" s="10">
        <f>_xlfn.XLOOKUP(A30,'Icyte Report'!A:A,'Icyte Report'!BZ:BZ)</f>
        <v>0</v>
      </c>
      <c r="BT30" s="10" t="str">
        <f>_xlfn.XLOOKUP(A30,'United MAMP All Components'!A:A,'United MAMP All Components'!AL:AL)</f>
        <v>0.00</v>
      </c>
      <c r="BU30" s="10">
        <f t="shared" si="23"/>
        <v>0</v>
      </c>
      <c r="BV30" s="26">
        <f>_xlfn.XLOOKUP(A30,'Icyte Report'!A:A,'Icyte Report'!CA:CA)</f>
        <v>0</v>
      </c>
      <c r="BW30" s="22" t="str">
        <f>_xlfn.XLOOKUP(A30,'United MAMP All Components'!A:A,'United MAMP All Components'!AM:AM)</f>
        <v>0.00</v>
      </c>
      <c r="BX30" s="10">
        <f t="shared" si="24"/>
        <v>0</v>
      </c>
      <c r="BY30" s="10">
        <f>_xlfn.XLOOKUP(A30,'Icyte Report'!A:A,'Icyte Report'!CD:CD)</f>
        <v>0</v>
      </c>
      <c r="BZ30" s="10" t="str">
        <f>_xlfn.XLOOKUP(A30,'United_Smoothed Price Concessio'!A:A,'United_Smoothed Price Concessio'!D:D)</f>
        <v>$0.00</v>
      </c>
      <c r="CA30" s="10">
        <f t="shared" si="25"/>
        <v>0</v>
      </c>
      <c r="CB30" s="10">
        <f>_xlfn.XLOOKUP(A30,'Icyte Report'!A:A,'Icyte Report'!CF:CF)</f>
        <v>21080</v>
      </c>
      <c r="CC30" s="10" t="e">
        <f>_xlfn.XLOOKUP(A30,'United Smoothed Indirect Inelig'!A:A,'United Smoothed Indirect Inelig'!F:F)</f>
        <v>#N/A</v>
      </c>
      <c r="CD30" s="10" t="e">
        <f t="shared" si="26"/>
        <v>#N/A</v>
      </c>
      <c r="CE30" s="10">
        <f>_xlfn.XLOOKUP(A30,'Icyte Report'!A:A,'Icyte Report'!CL:CL)</f>
        <v>476414631</v>
      </c>
      <c r="CF30" s="10" t="str">
        <f>_xlfn.XLOOKUP(A30,'United_Smoothed Price Concessio'!A:A,'United_Smoothed Price Concessio'!H:H)</f>
        <v>$460,023,833.06</v>
      </c>
      <c r="CG30" s="10">
        <f t="shared" si="27"/>
        <v>16390797.939999998</v>
      </c>
      <c r="CH30" s="10">
        <f>_xlfn.XLOOKUP(A30,'Icyte Report'!A:A,'Icyte Report'!CY:CY)</f>
        <v>14258758.315857779</v>
      </c>
      <c r="CI30" s="10" t="str">
        <f>_xlfn.XLOOKUP(A30,'United_Smoothed Price Concessio'!A:A,'United_Smoothed Price Concessio'!C:C)</f>
        <v>$7,569,820.09</v>
      </c>
      <c r="CJ30" s="10">
        <f t="shared" si="28"/>
        <v>6688938.2258577794</v>
      </c>
      <c r="CK30" s="10">
        <f>_xlfn.XLOOKUP(A30,'Icyte Report'!A:A,'Icyte Report'!CZ:CZ)</f>
        <v>14258758.315857779</v>
      </c>
      <c r="CL30" s="10" t="str">
        <f>_xlfn.XLOOKUP(A30,'United_Smoothed Price Concessio'!A:A,'United_Smoothed Price Concessio'!G:G)</f>
        <v>$11,179,671.99</v>
      </c>
      <c r="CM30" s="10">
        <f t="shared" si="29"/>
        <v>3079086.325857779</v>
      </c>
      <c r="CN30" s="13">
        <f>_xlfn.XLOOKUP(A30,'Icyte Report'!A:A,'Icyte Report'!DA:DA)</f>
        <v>2.9929303988689999E-2</v>
      </c>
      <c r="CO30" s="13" t="str">
        <f>_xlfn.XLOOKUP(A30,'United_Smoothed Price Concessio'!A:A,'United_Smoothed Price Concessio'!I:I)</f>
        <v>2.430238%</v>
      </c>
      <c r="CP30" s="10">
        <f t="shared" si="30"/>
        <v>5.6269239886900003E-3</v>
      </c>
      <c r="CQ30" s="10">
        <f>_xlfn.XLOOKUP(A30,'Icyte Report'!A:A,'Icyte Report'!DB:DB)</f>
        <v>0</v>
      </c>
      <c r="CR30" s="10" t="str">
        <f>_xlfn.XLOOKUP(A30,'United MAMP All Components'!A:A,'United MAMP All Components'!AX:AX)</f>
        <v>1,265,510.56</v>
      </c>
      <c r="CS30" s="10">
        <f t="shared" si="31"/>
        <v>-1265510.56</v>
      </c>
      <c r="CT30" s="10">
        <f>_xlfn.XLOOKUP(A30,'Icyte Report'!A:A,'Icyte Report'!DC:DC)</f>
        <v>0</v>
      </c>
      <c r="CU30" s="10" t="str">
        <f>_xlfn.XLOOKUP(A30,'United MAMP All Components'!A:A,'United MAMP All Components'!BA:BA)</f>
        <v>1,041,470.66</v>
      </c>
      <c r="CV30" s="10">
        <f t="shared" si="32"/>
        <v>-1041470.66</v>
      </c>
      <c r="CW30" s="10">
        <f>_xlfn.XLOOKUP(A30,'Icyte Report'!A:A,'Icyte Report'!DD:DD)</f>
        <v>0</v>
      </c>
      <c r="CX30" s="10" t="str">
        <f>_xlfn.XLOOKUP(A30,'United MAMP All Components'!A:A,'United MAMP All Components'!BD:BD)</f>
        <v>49,766,551.88</v>
      </c>
      <c r="CY30" s="10">
        <f t="shared" si="33"/>
        <v>-49766551.880000003</v>
      </c>
      <c r="CZ30" s="10">
        <f>_xlfn.XLOOKUP(A30,'Icyte Report'!A:A,'Icyte Report'!DE:DE)</f>
        <v>0</v>
      </c>
      <c r="DA30" s="10" t="str">
        <f>_xlfn.XLOOKUP(A30,'United MAMP All Components'!A:A,'United MAMP All Components'!BE:BE)</f>
        <v>2,263.57</v>
      </c>
      <c r="DB30" s="10">
        <f t="shared" si="34"/>
        <v>-2263.5700000000002</v>
      </c>
      <c r="DC30" s="10">
        <f>_xlfn.XLOOKUP(A30,'Icyte Report'!A:A,'Icyte Report'!DI:DI)</f>
        <v>21807.004282000002</v>
      </c>
      <c r="DD30" s="10" t="str">
        <f>_xlfn.XLOOKUP(A30,'United MAMP All Components'!A:A,'United MAMP All Components'!BG:BG)</f>
        <v>21,985.890747</v>
      </c>
      <c r="DE30" s="10">
        <f t="shared" si="35"/>
        <v>-178.88646499999959</v>
      </c>
    </row>
    <row r="31" spans="1:109" x14ac:dyDescent="0.35">
      <c r="A31" s="10" t="s">
        <v>201</v>
      </c>
      <c r="B31" s="10" t="s">
        <v>442</v>
      </c>
      <c r="C31" s="10">
        <f>_xlfn.XLOOKUP(A31,'Icyte Report'!A:A,'Icyte Report'!W:W)</f>
        <v>0</v>
      </c>
      <c r="D31" s="10" t="str">
        <f>_xlfn.XLOOKUP(A31,'United MAMP All Components'!A:A,'United MAMP All Components'!B:B)</f>
        <v>0.00</v>
      </c>
      <c r="E31" s="10">
        <f t="shared" si="0"/>
        <v>0</v>
      </c>
      <c r="F31" s="10">
        <f>_xlfn.XLOOKUP(A31,'Icyte Report'!A:A,'Icyte Report'!X:X)</f>
        <v>0</v>
      </c>
      <c r="G31" s="10" t="str">
        <f>_xlfn.XLOOKUP(A31,'United MAMP All Components'!A:A,'United MAMP All Components'!C:C)</f>
        <v>0.00</v>
      </c>
      <c r="H31" s="10">
        <f t="shared" si="1"/>
        <v>0</v>
      </c>
      <c r="I31" s="10">
        <f>_xlfn.XLOOKUP(A31,'Icyte Report'!A:A,'Icyte Report'!Y:Y)</f>
        <v>0</v>
      </c>
      <c r="J31" s="10" t="str">
        <f>_xlfn.XLOOKUP(A31,'United MAMP All Components'!A:A,'United MAMP All Components'!E:E)</f>
        <v>0.00</v>
      </c>
      <c r="K31" s="10">
        <f t="shared" si="2"/>
        <v>0</v>
      </c>
      <c r="L31" s="10">
        <f>_xlfn.XLOOKUP(A31,'Icyte Report'!A:A,'Icyte Report'!Z:Z)</f>
        <v>0</v>
      </c>
      <c r="M31" s="10" t="str">
        <f>_xlfn.XLOOKUP(A31,'United MAMP All Components'!A:A,'United MAMP All Components'!F:F)</f>
        <v>0.00</v>
      </c>
      <c r="N31" s="10">
        <f t="shared" si="3"/>
        <v>0</v>
      </c>
      <c r="O31" s="10">
        <f>_xlfn.XLOOKUP(A31,'Icyte Report'!A:A,'Icyte Report'!AA:AA)</f>
        <v>0</v>
      </c>
      <c r="P31" s="10" t="str">
        <f>_xlfn.XLOOKUP(A31,'United MAMP All Components'!A:A,'United MAMP All Components'!H:H)</f>
        <v>0.00</v>
      </c>
      <c r="Q31" s="10">
        <f t="shared" si="4"/>
        <v>0</v>
      </c>
      <c r="R31" s="10">
        <f>_xlfn.XLOOKUP(A31,'Icyte Report'!A:A,'Icyte Report'!AB:AB)</f>
        <v>0</v>
      </c>
      <c r="S31" s="10" t="str">
        <f>_xlfn.XLOOKUP(A31,'United MAMP All Components'!A:A,'United MAMP All Components'!I:I)</f>
        <v>0.00</v>
      </c>
      <c r="T31" s="10">
        <f t="shared" si="5"/>
        <v>0</v>
      </c>
      <c r="U31" s="10">
        <f>_xlfn.XLOOKUP(A31,'Icyte Report'!A:A,'Icyte Report'!AC:AC)</f>
        <v>0</v>
      </c>
      <c r="V31" s="10" t="str">
        <f>_xlfn.XLOOKUP(A31,'United MAMP All Components'!A:A,'United MAMP All Components'!K:K)</f>
        <v>0.00</v>
      </c>
      <c r="W31" s="10">
        <f t="shared" si="6"/>
        <v>0</v>
      </c>
      <c r="X31" s="10">
        <f>_xlfn.XLOOKUP(A31,'Icyte Report'!A:A,'Icyte Report'!AD:AD)</f>
        <v>0</v>
      </c>
      <c r="Y31" s="10" t="str">
        <f>_xlfn.XLOOKUP(A31,'United MAMP All Components'!A:A,'United MAMP All Components'!L:L)</f>
        <v>0.00</v>
      </c>
      <c r="Z31" s="10">
        <f t="shared" si="7"/>
        <v>0</v>
      </c>
      <c r="AA31" s="10">
        <f>_xlfn.XLOOKUP(A31,'Icyte Report'!A:A,'Icyte Report'!AE:AE)</f>
        <v>0</v>
      </c>
      <c r="AB31" s="10" t="str">
        <f>_xlfn.XLOOKUP(A31,'United MAMP All Components'!A:A,'United MAMP All Components'!N:N)</f>
        <v>0.00</v>
      </c>
      <c r="AC31" s="10">
        <f t="shared" si="8"/>
        <v>0</v>
      </c>
      <c r="AD31" s="10">
        <f>_xlfn.XLOOKUP(A31,'Icyte Report'!A:A,'Icyte Report'!AF:AF)</f>
        <v>0</v>
      </c>
      <c r="AE31" s="10" t="str">
        <f>_xlfn.XLOOKUP(A31,'United MAMP All Components'!A:A,'United MAMP All Components'!O:O)</f>
        <v>0.00</v>
      </c>
      <c r="AF31" s="10">
        <f t="shared" si="9"/>
        <v>0</v>
      </c>
      <c r="AG31" s="10">
        <f>_xlfn.XLOOKUP(A31,'Icyte Report'!A:A,'Icyte Report'!AG:AG)</f>
        <v>0</v>
      </c>
      <c r="AH31" s="10" t="str">
        <f>_xlfn.XLOOKUP(A31,'United MAMP All Components'!A:A,'United MAMP All Components'!Q:Q)</f>
        <v>0.00</v>
      </c>
      <c r="AI31" s="10">
        <f t="shared" si="10"/>
        <v>0</v>
      </c>
      <c r="AJ31" s="10">
        <f>_xlfn.XLOOKUP(A31,'Icyte Report'!A:A,'Icyte Report'!AH:AH)</f>
        <v>0</v>
      </c>
      <c r="AK31" s="10" t="str">
        <f>_xlfn.XLOOKUP(A31,'United MAMP All Components'!A:A,'United MAMP All Components'!R:R)</f>
        <v>0.00</v>
      </c>
      <c r="AL31" s="10">
        <f t="shared" si="11"/>
        <v>0</v>
      </c>
      <c r="AM31" s="10">
        <f>_xlfn.XLOOKUP(A31,'Icyte Report'!A:A,'Icyte Report'!AS:AS)</f>
        <v>0</v>
      </c>
      <c r="AN31" s="10" t="str">
        <f>_xlfn.XLOOKUP(A31,'United MAMP All Components'!A:A,'United MAMP All Components'!T:T)</f>
        <v>0.00</v>
      </c>
      <c r="AO31" s="10">
        <f t="shared" si="12"/>
        <v>0</v>
      </c>
      <c r="AP31" s="10">
        <f>_xlfn.XLOOKUP(A31,'Icyte Report'!A:A,'Icyte Report'!AT:AT)</f>
        <v>0</v>
      </c>
      <c r="AQ31" s="10" t="str">
        <f>_xlfn.XLOOKUP(A31,'United MAMP All Components'!A:A,'United MAMP All Components'!U:U)</f>
        <v>0.00</v>
      </c>
      <c r="AR31" s="10">
        <f t="shared" si="13"/>
        <v>0</v>
      </c>
      <c r="AS31" s="10">
        <f>_xlfn.XLOOKUP(A31,'Icyte Report'!A:A,'Icyte Report'!AU:AU)</f>
        <v>0</v>
      </c>
      <c r="AT31" s="10" t="str">
        <f>_xlfn.XLOOKUP(A31,'United MAMP All Components'!A:A,'United MAMP All Components'!AO:AO)</f>
        <v>0.00</v>
      </c>
      <c r="AU31" s="10">
        <f t="shared" si="14"/>
        <v>0</v>
      </c>
      <c r="AV31" s="10">
        <f>_xlfn.XLOOKUP(A31,'Icyte Report'!A:A,'Icyte Report'!AV:AV)</f>
        <v>0</v>
      </c>
      <c r="AW31" s="10" t="str">
        <f>_xlfn.XLOOKUP(A31,'United MAMP All Components'!A:A,'United MAMP All Components'!AP:AP)</f>
        <v>0.00</v>
      </c>
      <c r="AX31" s="10">
        <f t="shared" si="15"/>
        <v>0</v>
      </c>
      <c r="AY31" s="10">
        <f>_xlfn.XLOOKUP(A31,'Icyte Report'!A:A,'Icyte Report'!BH:BH)</f>
        <v>0</v>
      </c>
      <c r="AZ31" s="10" t="e">
        <f>_xlfn.XLOOKUP(A31,'United Smoothed Indirect Inelig'!A:A,'United Smoothed Indirect Inelig'!D:D)</f>
        <v>#N/A</v>
      </c>
      <c r="BA31" s="10" t="e">
        <f t="shared" si="16"/>
        <v>#N/A</v>
      </c>
      <c r="BB31" s="10">
        <f>_xlfn.XLOOKUP(A31,'Icyte Report'!A:A,'Icyte Report'!BK:BK)</f>
        <v>1</v>
      </c>
      <c r="BC31" s="10" t="e">
        <f t="shared" si="17"/>
        <v>#N/A</v>
      </c>
      <c r="BD31" s="10">
        <f>_xlfn.XLOOKUP(A31,'Icyte Report'!A:A,'Icyte Report'!BN:BN)</f>
        <v>0</v>
      </c>
      <c r="BE31" s="10" t="e">
        <f>_xlfn.XLOOKUP(A31,'United Smoothed Indirect Inelig'!A:A,'United Smoothed Indirect Inelig'!C:C)</f>
        <v>#N/A</v>
      </c>
      <c r="BF31" s="10" t="e">
        <f t="shared" si="18"/>
        <v>#N/A</v>
      </c>
      <c r="BG31" s="10">
        <f>_xlfn.XLOOKUP(A31,'Icyte Report'!A:A,'Icyte Report'!BR:BR)</f>
        <v>0</v>
      </c>
      <c r="BH31" s="10" t="e">
        <f>_xlfn.XLOOKUP(A31,'United Smoothed Indirect Inelig'!A:A,'United Smoothed Indirect Inelig'!B:B)</f>
        <v>#N/A</v>
      </c>
      <c r="BI31" s="10" t="e">
        <f t="shared" si="19"/>
        <v>#N/A</v>
      </c>
      <c r="BJ31" s="10">
        <f>_xlfn.XLOOKUP(A31,'Icyte Report'!A:A,'Icyte Report'!BV:BV)</f>
        <v>0</v>
      </c>
      <c r="BK31" s="10" t="e">
        <f>_xlfn.XLOOKUP(A31,'United Smoothed Indirect Inelig'!A:A,'United Smoothed Indirect Inelig'!P:P)</f>
        <v>#N/A</v>
      </c>
      <c r="BL31" s="10" t="e">
        <f t="shared" si="20"/>
        <v>#N/A</v>
      </c>
      <c r="BM31" s="13">
        <f>_xlfn.XLOOKUP(A31,'Icyte Report'!A:A,'Icyte Report'!BW:BW)</f>
        <v>0</v>
      </c>
      <c r="BN31" s="13" t="e">
        <f>_xlfn.XLOOKUP(A31,'United Smoothed Indirect Inelig'!A:A,'United Smoothed Indirect Inelig'!G:G)+_xlfn.XLOOKUP(A31,'United Smoothed Indirect Inelig'!A:A,'United Smoothed Indirect Inelig'!H:H) + _xlfn.XLOOKUP(A31,'United Smoothed Indirect Inelig'!A:A,'United Smoothed Indirect Inelig'!I:I)+_xlfn.XLOOKUP(A31,'United Smoothed Indirect Inelig'!A:A,'United Smoothed Indirect Inelig'!J:J)</f>
        <v>#N/A</v>
      </c>
      <c r="BO31" s="18" t="e">
        <f t="shared" si="21"/>
        <v>#N/A</v>
      </c>
      <c r="BP31" s="10">
        <f>_xlfn.XLOOKUP(A31,'Icyte Report'!A:A,'Icyte Report'!BY:BY)</f>
        <v>0</v>
      </c>
      <c r="BQ31" s="10" t="e">
        <f>_xlfn.XLOOKUP(A31,'United Smoothed Indirect Inelig'!A:A,'United Smoothed Indirect Inelig'!L:L)+_xlfn.XLOOKUP(A31,'United Smoothed Indirect Inelig'!A:A,'United Smoothed Indirect Inelig'!M:M) + _xlfn.XLOOKUP(A31,'United Smoothed Indirect Inelig'!A:A,'United Smoothed Indirect Inelig'!N:N)+_xlfn.XLOOKUP(A31,'United Smoothed Indirect Inelig'!A:A,'United Smoothed Indirect Inelig'!O:O)</f>
        <v>#N/A</v>
      </c>
      <c r="BR31" s="10" t="e">
        <f t="shared" si="22"/>
        <v>#N/A</v>
      </c>
      <c r="BS31" s="10">
        <f>_xlfn.XLOOKUP(A31,'Icyte Report'!A:A,'Icyte Report'!BZ:BZ)</f>
        <v>0</v>
      </c>
      <c r="BT31" s="10" t="str">
        <f>_xlfn.XLOOKUP(A31,'United MAMP All Components'!A:A,'United MAMP All Components'!AL:AL)</f>
        <v>0.00</v>
      </c>
      <c r="BU31" s="10">
        <f t="shared" si="23"/>
        <v>0</v>
      </c>
      <c r="BV31" s="26">
        <f>_xlfn.XLOOKUP(A31,'Icyte Report'!A:A,'Icyte Report'!CA:CA)</f>
        <v>0</v>
      </c>
      <c r="BW31" s="22" t="str">
        <f>_xlfn.XLOOKUP(A31,'United MAMP All Components'!A:A,'United MAMP All Components'!AM:AM)</f>
        <v>0.00</v>
      </c>
      <c r="BX31" s="10">
        <f t="shared" si="24"/>
        <v>0</v>
      </c>
      <c r="BY31" s="10">
        <f>_xlfn.XLOOKUP(A31,'Icyte Report'!A:A,'Icyte Report'!CD:CD)</f>
        <v>0</v>
      </c>
      <c r="BZ31" s="10" t="str">
        <f>_xlfn.XLOOKUP(A31,'United_Smoothed Price Concessio'!A:A,'United_Smoothed Price Concessio'!D:D)</f>
        <v>$0.00</v>
      </c>
      <c r="CA31" s="10">
        <f t="shared" si="25"/>
        <v>0</v>
      </c>
      <c r="CB31" s="10">
        <f>_xlfn.XLOOKUP(A31,'Icyte Report'!A:A,'Icyte Report'!CF:CF)</f>
        <v>0</v>
      </c>
      <c r="CC31" s="10" t="e">
        <f>_xlfn.XLOOKUP(A31,'United Smoothed Indirect Inelig'!A:A,'United Smoothed Indirect Inelig'!F:F)</f>
        <v>#N/A</v>
      </c>
      <c r="CD31" s="10" t="e">
        <f t="shared" si="26"/>
        <v>#N/A</v>
      </c>
      <c r="CE31" s="10">
        <f>_xlfn.XLOOKUP(A31,'Icyte Report'!A:A,'Icyte Report'!CL:CL)</f>
        <v>-22555.856147540981</v>
      </c>
      <c r="CF31" s="10" t="str">
        <f>_xlfn.XLOOKUP(A31,'United_Smoothed Price Concessio'!A:A,'United_Smoothed Price Concessio'!H:H)</f>
        <v>$0.00</v>
      </c>
      <c r="CG31" s="10">
        <f t="shared" si="27"/>
        <v>-22555.856147540981</v>
      </c>
      <c r="CH31" s="10">
        <f>_xlfn.XLOOKUP(A31,'Icyte Report'!A:A,'Icyte Report'!CY:CY)</f>
        <v>0</v>
      </c>
      <c r="CI31" s="10" t="str">
        <f>_xlfn.XLOOKUP(A31,'United_Smoothed Price Concessio'!A:A,'United_Smoothed Price Concessio'!C:C)</f>
        <v>$0.00</v>
      </c>
      <c r="CJ31" s="10">
        <f t="shared" si="28"/>
        <v>0</v>
      </c>
      <c r="CK31" s="10">
        <f>_xlfn.XLOOKUP(A31,'Icyte Report'!A:A,'Icyte Report'!CZ:CZ)</f>
        <v>0</v>
      </c>
      <c r="CL31" s="10" t="str">
        <f>_xlfn.XLOOKUP(A31,'United_Smoothed Price Concessio'!A:A,'United_Smoothed Price Concessio'!G:G)</f>
        <v>$3,783.01</v>
      </c>
      <c r="CM31" s="10">
        <f t="shared" si="29"/>
        <v>-3783.01</v>
      </c>
      <c r="CN31" s="13">
        <f>_xlfn.XLOOKUP(A31,'Icyte Report'!A:A,'Icyte Report'!DA:DA)</f>
        <v>0</v>
      </c>
      <c r="CO31" s="13" t="str">
        <f>_xlfn.XLOOKUP(A31,'United_Smoothed Price Concessio'!A:A,'United_Smoothed Price Concessio'!I:I)</f>
        <v>0.000000%</v>
      </c>
      <c r="CP31" s="10">
        <f t="shared" si="30"/>
        <v>0</v>
      </c>
      <c r="CQ31" s="10">
        <f>_xlfn.XLOOKUP(A31,'Icyte Report'!A:A,'Icyte Report'!DB:DB)</f>
        <v>0</v>
      </c>
      <c r="CR31" s="10" t="str">
        <f>_xlfn.XLOOKUP(A31,'United MAMP All Components'!A:A,'United MAMP All Components'!AX:AX)</f>
        <v>0.00</v>
      </c>
      <c r="CS31" s="10">
        <f t="shared" si="31"/>
        <v>0</v>
      </c>
      <c r="CT31" s="10">
        <f>_xlfn.XLOOKUP(A31,'Icyte Report'!A:A,'Icyte Report'!DC:DC)</f>
        <v>0</v>
      </c>
      <c r="CU31" s="10" t="str">
        <f>_xlfn.XLOOKUP(A31,'United MAMP All Components'!A:A,'United MAMP All Components'!BA:BA)</f>
        <v>0.00</v>
      </c>
      <c r="CV31" s="10">
        <f t="shared" si="32"/>
        <v>0</v>
      </c>
      <c r="CW31" s="10">
        <f>_xlfn.XLOOKUP(A31,'Icyte Report'!A:A,'Icyte Report'!DD:DD)</f>
        <v>0</v>
      </c>
      <c r="CX31" s="10" t="str">
        <f>_xlfn.XLOOKUP(A31,'United MAMP All Components'!A:A,'United MAMP All Components'!BD:BD)</f>
        <v>0.00</v>
      </c>
      <c r="CY31" s="10">
        <f t="shared" si="33"/>
        <v>0</v>
      </c>
      <c r="CZ31" s="10">
        <f>_xlfn.XLOOKUP(A31,'Icyte Report'!A:A,'Icyte Report'!DE:DE)</f>
        <v>0</v>
      </c>
      <c r="DA31" s="10" t="str">
        <f>_xlfn.XLOOKUP(A31,'United MAMP All Components'!A:A,'United MAMP All Components'!BE:BE)</f>
        <v>0.00</v>
      </c>
      <c r="DB31" s="10">
        <f t="shared" si="34"/>
        <v>0</v>
      </c>
      <c r="DC31" s="10">
        <f>_xlfn.XLOOKUP(A31,'Icyte Report'!A:A,'Icyte Report'!DI:DI)</f>
        <v>20487.968199999999</v>
      </c>
      <c r="DD31" s="10" t="str">
        <f>_xlfn.XLOOKUP(A31,'United MAMP All Components'!A:A,'United MAMP All Components'!BG:BG)</f>
        <v>20,487.968200</v>
      </c>
      <c r="DE31" s="10">
        <f t="shared" si="35"/>
        <v>0</v>
      </c>
    </row>
    <row r="32" spans="1:109" x14ac:dyDescent="0.35">
      <c r="A32" s="10" t="s">
        <v>203</v>
      </c>
      <c r="B32" s="10" t="s">
        <v>443</v>
      </c>
      <c r="C32" s="10">
        <f>_xlfn.XLOOKUP(A32,'Icyte Report'!A:A,'Icyte Report'!W:W)</f>
        <v>7361622.4000000004</v>
      </c>
      <c r="D32" s="10" t="str">
        <f>_xlfn.XLOOKUP(A32,'United MAMP All Components'!A:A,'United MAMP All Components'!B:B)</f>
        <v>9,202,028.00</v>
      </c>
      <c r="E32" s="10">
        <f t="shared" si="0"/>
        <v>-1840405.5999999996</v>
      </c>
      <c r="F32" s="10">
        <f>_xlfn.XLOOKUP(A32,'Icyte Report'!A:A,'Icyte Report'!X:X)</f>
        <v>330</v>
      </c>
      <c r="G32" s="10" t="str">
        <f>_xlfn.XLOOKUP(A32,'United MAMP All Components'!A:A,'United MAMP All Components'!C:C)</f>
        <v>420.00</v>
      </c>
      <c r="H32" s="10">
        <f t="shared" si="1"/>
        <v>-90</v>
      </c>
      <c r="I32" s="10">
        <f>_xlfn.XLOOKUP(A32,'Icyte Report'!A:A,'Icyte Report'!Y:Y)</f>
        <v>0</v>
      </c>
      <c r="J32" s="10" t="str">
        <f>_xlfn.XLOOKUP(A32,'United MAMP All Components'!A:A,'United MAMP All Components'!E:E)</f>
        <v>0.00</v>
      </c>
      <c r="K32" s="10">
        <f t="shared" si="2"/>
        <v>0</v>
      </c>
      <c r="L32" s="10">
        <f>_xlfn.XLOOKUP(A32,'Icyte Report'!A:A,'Icyte Report'!Z:Z)</f>
        <v>0</v>
      </c>
      <c r="M32" s="10" t="str">
        <f>_xlfn.XLOOKUP(A32,'United MAMP All Components'!A:A,'United MAMP All Components'!F:F)</f>
        <v>0.00</v>
      </c>
      <c r="N32" s="10">
        <f t="shared" si="3"/>
        <v>0</v>
      </c>
      <c r="O32" s="10">
        <f>_xlfn.XLOOKUP(A32,'Icyte Report'!A:A,'Icyte Report'!AA:AA)</f>
        <v>0</v>
      </c>
      <c r="P32" s="10" t="str">
        <f>_xlfn.XLOOKUP(A32,'United MAMP All Components'!A:A,'United MAMP All Components'!H:H)</f>
        <v>0.00</v>
      </c>
      <c r="Q32" s="10">
        <f t="shared" si="4"/>
        <v>0</v>
      </c>
      <c r="R32" s="10">
        <f>_xlfn.XLOOKUP(A32,'Icyte Report'!A:A,'Icyte Report'!AB:AB)</f>
        <v>0</v>
      </c>
      <c r="S32" s="10" t="str">
        <f>_xlfn.XLOOKUP(A32,'United MAMP All Components'!A:A,'United MAMP All Components'!I:I)</f>
        <v>0.00</v>
      </c>
      <c r="T32" s="10">
        <f t="shared" si="5"/>
        <v>0</v>
      </c>
      <c r="U32" s="10">
        <f>_xlfn.XLOOKUP(A32,'Icyte Report'!A:A,'Icyte Report'!AC:AC)</f>
        <v>0</v>
      </c>
      <c r="V32" s="10" t="str">
        <f>_xlfn.XLOOKUP(A32,'United MAMP All Components'!A:A,'United MAMP All Components'!K:K)</f>
        <v>0.00</v>
      </c>
      <c r="W32" s="10">
        <f t="shared" si="6"/>
        <v>0</v>
      </c>
      <c r="X32" s="10">
        <f>_xlfn.XLOOKUP(A32,'Icyte Report'!A:A,'Icyte Report'!AD:AD)</f>
        <v>0</v>
      </c>
      <c r="Y32" s="10" t="str">
        <f>_xlfn.XLOOKUP(A32,'United MAMP All Components'!A:A,'United MAMP All Components'!L:L)</f>
        <v>0.00</v>
      </c>
      <c r="Z32" s="10">
        <f t="shared" si="7"/>
        <v>0</v>
      </c>
      <c r="AA32" s="10">
        <f>_xlfn.XLOOKUP(A32,'Icyte Report'!A:A,'Icyte Report'!AE:AE)</f>
        <v>0</v>
      </c>
      <c r="AB32" s="10" t="str">
        <f>_xlfn.XLOOKUP(A32,'United MAMP All Components'!A:A,'United MAMP All Components'!N:N)</f>
        <v>0.00</v>
      </c>
      <c r="AC32" s="10">
        <f t="shared" si="8"/>
        <v>0</v>
      </c>
      <c r="AD32" s="10">
        <f>_xlfn.XLOOKUP(A32,'Icyte Report'!A:A,'Icyte Report'!AF:AF)</f>
        <v>10</v>
      </c>
      <c r="AE32" s="10" t="str">
        <f>_xlfn.XLOOKUP(A32,'United MAMP All Components'!A:A,'United MAMP All Components'!O:O)</f>
        <v>20.00</v>
      </c>
      <c r="AF32" s="10">
        <f t="shared" si="9"/>
        <v>-10</v>
      </c>
      <c r="AG32" s="10">
        <f>_xlfn.XLOOKUP(A32,'Icyte Report'!A:A,'Icyte Report'!AG:AG)</f>
        <v>0</v>
      </c>
      <c r="AH32" s="10" t="str">
        <f>_xlfn.XLOOKUP(A32,'United MAMP All Components'!A:A,'United MAMP All Components'!Q:Q)</f>
        <v>0.00</v>
      </c>
      <c r="AI32" s="10">
        <f t="shared" si="10"/>
        <v>0</v>
      </c>
      <c r="AJ32" s="10">
        <f>_xlfn.XLOOKUP(A32,'Icyte Report'!A:A,'Icyte Report'!AH:AH)</f>
        <v>0</v>
      </c>
      <c r="AK32" s="10" t="str">
        <f>_xlfn.XLOOKUP(A32,'United MAMP All Components'!A:A,'United MAMP All Components'!R:R)</f>
        <v>0.00</v>
      </c>
      <c r="AL32" s="10">
        <f t="shared" si="11"/>
        <v>0</v>
      </c>
      <c r="AM32" s="10">
        <f>_xlfn.XLOOKUP(A32,'Icyte Report'!A:A,'Icyte Report'!AS:AS)</f>
        <v>7361622.4000000004</v>
      </c>
      <c r="AN32" s="10" t="str">
        <f>_xlfn.XLOOKUP(A32,'United MAMP All Components'!A:A,'United MAMP All Components'!T:T)</f>
        <v>9,202,028.00</v>
      </c>
      <c r="AO32" s="10">
        <f t="shared" si="12"/>
        <v>-1840405.5999999996</v>
      </c>
      <c r="AP32" s="10">
        <f>_xlfn.XLOOKUP(A32,'Icyte Report'!A:A,'Icyte Report'!AT:AT)</f>
        <v>320</v>
      </c>
      <c r="AQ32" s="10" t="str">
        <f>_xlfn.XLOOKUP(A32,'United MAMP All Components'!A:A,'United MAMP All Components'!U:U)</f>
        <v>400.00</v>
      </c>
      <c r="AR32" s="10">
        <f t="shared" si="13"/>
        <v>-80</v>
      </c>
      <c r="AS32" s="10">
        <f>_xlfn.XLOOKUP(A32,'Icyte Report'!A:A,'Icyte Report'!AU:AU)</f>
        <v>0</v>
      </c>
      <c r="AT32" s="10" t="str">
        <f>_xlfn.XLOOKUP(A32,'United MAMP All Components'!A:A,'United MAMP All Components'!AO:AO)</f>
        <v>0.00</v>
      </c>
      <c r="AU32" s="10">
        <f t="shared" si="14"/>
        <v>0</v>
      </c>
      <c r="AV32" s="10">
        <f>_xlfn.XLOOKUP(A32,'Icyte Report'!A:A,'Icyte Report'!AV:AV)</f>
        <v>0</v>
      </c>
      <c r="AW32" s="10" t="str">
        <f>_xlfn.XLOOKUP(A32,'United MAMP All Components'!A:A,'United MAMP All Components'!AP:AP)</f>
        <v>0.00</v>
      </c>
      <c r="AX32" s="10">
        <f t="shared" si="15"/>
        <v>0</v>
      </c>
      <c r="AY32" s="10">
        <f>_xlfn.XLOOKUP(A32,'Icyte Report'!A:A,'Icyte Report'!BH:BH)</f>
        <v>97</v>
      </c>
      <c r="AZ32" s="10" t="e">
        <f>_xlfn.XLOOKUP(A32,'United Smoothed Indirect Inelig'!A:A,'United Smoothed Indirect Inelig'!D:D)</f>
        <v>#N/A</v>
      </c>
      <c r="BA32" s="10" t="e">
        <f t="shared" si="16"/>
        <v>#N/A</v>
      </c>
      <c r="BB32" s="10">
        <f>_xlfn.XLOOKUP(A32,'Icyte Report'!A:A,'Icyte Report'!BK:BK)</f>
        <v>318</v>
      </c>
      <c r="BC32" s="10" t="e">
        <f t="shared" si="17"/>
        <v>#N/A</v>
      </c>
      <c r="BD32" s="10">
        <f>_xlfn.XLOOKUP(A32,'Icyte Report'!A:A,'Icyte Report'!BN:BN)</f>
        <v>0</v>
      </c>
      <c r="BE32" s="10" t="e">
        <f>_xlfn.XLOOKUP(A32,'United Smoothed Indirect Inelig'!A:A,'United Smoothed Indirect Inelig'!C:C)</f>
        <v>#N/A</v>
      </c>
      <c r="BF32" s="10" t="e">
        <f t="shared" si="18"/>
        <v>#N/A</v>
      </c>
      <c r="BG32" s="10">
        <f>_xlfn.XLOOKUP(A32,'Icyte Report'!A:A,'Icyte Report'!BR:BR)</f>
        <v>0</v>
      </c>
      <c r="BH32" s="10" t="e">
        <f>_xlfn.XLOOKUP(A32,'United Smoothed Indirect Inelig'!A:A,'United Smoothed Indirect Inelig'!B:B)</f>
        <v>#N/A</v>
      </c>
      <c r="BI32" s="10" t="e">
        <f t="shared" si="19"/>
        <v>#N/A</v>
      </c>
      <c r="BJ32" s="10">
        <f>_xlfn.XLOOKUP(A32,'Icyte Report'!A:A,'Icyte Report'!BV:BV)</f>
        <v>23005.07</v>
      </c>
      <c r="BK32" s="10" t="e">
        <f>_xlfn.XLOOKUP(A32,'United Smoothed Indirect Inelig'!A:A,'United Smoothed Indirect Inelig'!P:P)</f>
        <v>#N/A</v>
      </c>
      <c r="BL32" s="10" t="e">
        <f t="shared" si="20"/>
        <v>#N/A</v>
      </c>
      <c r="BM32" s="13">
        <f>_xlfn.XLOOKUP(A32,'Icyte Report'!A:A,'Icyte Report'!BW:BW)</f>
        <v>0.10146699266504</v>
      </c>
      <c r="BN32" s="13" t="e">
        <f>_xlfn.XLOOKUP(A32,'United Smoothed Indirect Inelig'!A:A,'United Smoothed Indirect Inelig'!G:G)+_xlfn.XLOOKUP(A32,'United Smoothed Indirect Inelig'!A:A,'United Smoothed Indirect Inelig'!H:H) + _xlfn.XLOOKUP(A32,'United Smoothed Indirect Inelig'!A:A,'United Smoothed Indirect Inelig'!I:I)+_xlfn.XLOOKUP(A32,'United Smoothed Indirect Inelig'!A:A,'United Smoothed Indirect Inelig'!J:J)</f>
        <v>#N/A</v>
      </c>
      <c r="BO32" s="18" t="e">
        <f t="shared" si="21"/>
        <v>#N/A</v>
      </c>
      <c r="BP32" s="10">
        <f>_xlfn.XLOOKUP(A32,'Icyte Report'!A:A,'Icyte Report'!BY:BY)</f>
        <v>32.469437652811742</v>
      </c>
      <c r="BQ32" s="10" t="e">
        <f>_xlfn.XLOOKUP(A32,'United Smoothed Indirect Inelig'!A:A,'United Smoothed Indirect Inelig'!L:L)+_xlfn.XLOOKUP(A32,'United Smoothed Indirect Inelig'!A:A,'United Smoothed Indirect Inelig'!M:M) + _xlfn.XLOOKUP(A32,'United Smoothed Indirect Inelig'!A:A,'United Smoothed Indirect Inelig'!N:N)+_xlfn.XLOOKUP(A32,'United Smoothed Indirect Inelig'!A:A,'United Smoothed Indirect Inelig'!O:O)</f>
        <v>#N/A</v>
      </c>
      <c r="BR32" s="10" t="e">
        <f t="shared" si="22"/>
        <v>#N/A</v>
      </c>
      <c r="BS32" s="10">
        <f>_xlfn.XLOOKUP(A32,'Icyte Report'!A:A,'Icyte Report'!BZ:BZ)</f>
        <v>6614660.7139364304</v>
      </c>
      <c r="BT32" s="10" t="str">
        <f>_xlfn.XLOOKUP(A32,'United MAMP All Components'!A:A,'United MAMP All Components'!AL:AL)</f>
        <v>7,135,995.75</v>
      </c>
      <c r="BU32" s="10">
        <f t="shared" si="23"/>
        <v>-521335.0360635696</v>
      </c>
      <c r="BV32" s="26">
        <f>_xlfn.XLOOKUP(A32,'Icyte Report'!A:A,'Icyte Report'!CA:CA)</f>
        <v>287.53056234718832</v>
      </c>
      <c r="BW32" s="22" t="str">
        <f>_xlfn.XLOOKUP(A32,'United MAMP All Components'!A:A,'United MAMP All Components'!AM:AM)</f>
        <v>310.19</v>
      </c>
      <c r="BX32" s="10">
        <f t="shared" si="24"/>
        <v>-22.659437652811675</v>
      </c>
      <c r="BY32" s="10">
        <f>_xlfn.XLOOKUP(A32,'Icyte Report'!A:A,'Icyte Report'!CD:CD)</f>
        <v>0</v>
      </c>
      <c r="BZ32" s="10" t="str">
        <f>_xlfn.XLOOKUP(A32,'United_Smoothed Price Concessio'!A:A,'United_Smoothed Price Concessio'!D:D)</f>
        <v>$0.00</v>
      </c>
      <c r="CA32" s="10">
        <f t="shared" si="25"/>
        <v>0</v>
      </c>
      <c r="CB32" s="10">
        <f>_xlfn.XLOOKUP(A32,'Icyte Report'!A:A,'Icyte Report'!CF:CF)</f>
        <v>4090</v>
      </c>
      <c r="CC32" s="10" t="e">
        <f>_xlfn.XLOOKUP(A32,'United Smoothed Indirect Inelig'!A:A,'United Smoothed Indirect Inelig'!F:F)</f>
        <v>#N/A</v>
      </c>
      <c r="CD32" s="10" t="e">
        <f t="shared" si="26"/>
        <v>#N/A</v>
      </c>
      <c r="CE32" s="10">
        <f>_xlfn.XLOOKUP(A32,'Icyte Report'!A:A,'Icyte Report'!CL:CL)</f>
        <v>83064441.49877049</v>
      </c>
      <c r="CF32" s="10" t="str">
        <f>_xlfn.XLOOKUP(A32,'United_Smoothed Price Concessio'!A:A,'United_Smoothed Price Concessio'!H:H)</f>
        <v>$72,903,356.02</v>
      </c>
      <c r="CG32" s="10">
        <f t="shared" si="27"/>
        <v>10161085.478770494</v>
      </c>
      <c r="CH32" s="10">
        <f>_xlfn.XLOOKUP(A32,'Icyte Report'!A:A,'Icyte Report'!CY:CY)</f>
        <v>2362922.288203259</v>
      </c>
      <c r="CI32" s="10" t="str">
        <f>_xlfn.XLOOKUP(A32,'United_Smoothed Price Concessio'!A:A,'United_Smoothed Price Concessio'!C:C)</f>
        <v>$1,240,579.23</v>
      </c>
      <c r="CJ32" s="10">
        <f t="shared" si="28"/>
        <v>1122343.058203259</v>
      </c>
      <c r="CK32" s="10">
        <f>_xlfn.XLOOKUP(A32,'Icyte Report'!A:A,'Icyte Report'!CZ:CZ)</f>
        <v>2362922.288203259</v>
      </c>
      <c r="CL32" s="10" t="str">
        <f>_xlfn.XLOOKUP(A32,'United_Smoothed Price Concessio'!A:A,'United_Smoothed Price Concessio'!G:G)</f>
        <v>$1,828,940.80</v>
      </c>
      <c r="CM32" s="10">
        <f t="shared" si="29"/>
        <v>533981.48820325895</v>
      </c>
      <c r="CN32" s="13">
        <f>_xlfn.XLOOKUP(A32,'Icyte Report'!A:A,'Icyte Report'!DA:DA)</f>
        <v>2.8446856989199999E-2</v>
      </c>
      <c r="CO32" s="13" t="str">
        <f>_xlfn.XLOOKUP(A32,'United_Smoothed Price Concessio'!A:A,'United_Smoothed Price Concessio'!I:I)</f>
        <v>2.508720%</v>
      </c>
      <c r="CP32" s="10">
        <f t="shared" si="30"/>
        <v>3.3596569891999988E-3</v>
      </c>
      <c r="CQ32" s="10">
        <f>_xlfn.XLOOKUP(A32,'Icyte Report'!A:A,'Icyte Report'!DB:DB)</f>
        <v>188166.30736142641</v>
      </c>
      <c r="CR32" s="10" t="str">
        <f>_xlfn.XLOOKUP(A32,'United MAMP All Components'!A:A,'United MAMP All Components'!AX:AX)</f>
        <v>179,022.13</v>
      </c>
      <c r="CS32" s="10">
        <f t="shared" si="31"/>
        <v>9144.1773614264093</v>
      </c>
      <c r="CT32" s="10">
        <f>_xlfn.XLOOKUP(A32,'Icyte Report'!A:A,'Icyte Report'!DC:DC)</f>
        <v>132293.21427872861</v>
      </c>
      <c r="CU32" s="10" t="str">
        <f>_xlfn.XLOOKUP(A32,'United MAMP All Components'!A:A,'United MAMP All Components'!BA:BA)</f>
        <v>142,719.92</v>
      </c>
      <c r="CV32" s="10">
        <f t="shared" si="32"/>
        <v>-10426.705721271399</v>
      </c>
      <c r="CW32" s="10">
        <f>_xlfn.XLOOKUP(A32,'Icyte Report'!A:A,'Icyte Report'!DD:DD)</f>
        <v>6294201.1922962749</v>
      </c>
      <c r="CX32" s="10" t="str">
        <f>_xlfn.XLOOKUP(A32,'United MAMP All Components'!A:A,'United MAMP All Components'!BD:BD)</f>
        <v>6,814,253.71</v>
      </c>
      <c r="CY32" s="10">
        <f t="shared" si="33"/>
        <v>-520052.51770372503</v>
      </c>
      <c r="CZ32" s="10">
        <f>_xlfn.XLOOKUP(A32,'Icyte Report'!A:A,'Icyte Report'!DE:DE)</f>
        <v>287.53056234718832</v>
      </c>
      <c r="DA32" s="10" t="str">
        <f>_xlfn.XLOOKUP(A32,'United MAMP All Components'!A:A,'United MAMP All Components'!BE:BE)</f>
        <v>310.19</v>
      </c>
      <c r="DB32" s="10">
        <f t="shared" si="34"/>
        <v>-22.659437652811675</v>
      </c>
      <c r="DC32" s="10">
        <f>_xlfn.XLOOKUP(A32,'Icyte Report'!A:A,'Icyte Report'!DI:DI)</f>
        <v>21890.546664000001</v>
      </c>
      <c r="DD32" s="10" t="str">
        <f>_xlfn.XLOOKUP(A32,'United MAMP All Components'!A:A,'United MAMP All Components'!BG:BG)</f>
        <v>21,967.835895</v>
      </c>
      <c r="DE32" s="10">
        <f t="shared" si="35"/>
        <v>-77.289230999998836</v>
      </c>
    </row>
    <row r="33" spans="1:109" x14ac:dyDescent="0.35">
      <c r="A33" s="10" t="s">
        <v>208</v>
      </c>
      <c r="B33" s="10" t="s">
        <v>444</v>
      </c>
      <c r="C33" s="10">
        <f>_xlfn.XLOOKUP(A33,'Icyte Report'!A:A,'Icyte Report'!W:W)</f>
        <v>5981318.2000000002</v>
      </c>
      <c r="D33" s="10" t="str">
        <f>_xlfn.XLOOKUP(A33,'United MAMP All Components'!A:A,'United MAMP All Components'!B:B)</f>
        <v>7,821,723.80</v>
      </c>
      <c r="E33" s="10">
        <f t="shared" si="0"/>
        <v>-1840405.5999999996</v>
      </c>
      <c r="F33" s="10">
        <f>_xlfn.XLOOKUP(A33,'Icyte Report'!A:A,'Icyte Report'!X:X)</f>
        <v>290</v>
      </c>
      <c r="G33" s="10" t="str">
        <f>_xlfn.XLOOKUP(A33,'United MAMP All Components'!A:A,'United MAMP All Components'!C:C)</f>
        <v>400.00</v>
      </c>
      <c r="H33" s="10">
        <f t="shared" si="1"/>
        <v>-110</v>
      </c>
      <c r="I33" s="10">
        <f>_xlfn.XLOOKUP(A33,'Icyte Report'!A:A,'Icyte Report'!Y:Y)</f>
        <v>0</v>
      </c>
      <c r="J33" s="10" t="str">
        <f>_xlfn.XLOOKUP(A33,'United MAMP All Components'!A:A,'United MAMP All Components'!E:E)</f>
        <v>0.00</v>
      </c>
      <c r="K33" s="10">
        <f t="shared" si="2"/>
        <v>0</v>
      </c>
      <c r="L33" s="10">
        <f>_xlfn.XLOOKUP(A33,'Icyte Report'!A:A,'Icyte Report'!Z:Z)</f>
        <v>0</v>
      </c>
      <c r="M33" s="10" t="str">
        <f>_xlfn.XLOOKUP(A33,'United MAMP All Components'!A:A,'United MAMP All Components'!F:F)</f>
        <v>0.00</v>
      </c>
      <c r="N33" s="10">
        <f t="shared" si="3"/>
        <v>0</v>
      </c>
      <c r="O33" s="10">
        <f>_xlfn.XLOOKUP(A33,'Icyte Report'!A:A,'Icyte Report'!AA:AA)</f>
        <v>0</v>
      </c>
      <c r="P33" s="10" t="str">
        <f>_xlfn.XLOOKUP(A33,'United MAMP All Components'!A:A,'United MAMP All Components'!H:H)</f>
        <v>0.00</v>
      </c>
      <c r="Q33" s="10">
        <f t="shared" si="4"/>
        <v>0</v>
      </c>
      <c r="R33" s="10">
        <f>_xlfn.XLOOKUP(A33,'Icyte Report'!A:A,'Icyte Report'!AB:AB)</f>
        <v>0</v>
      </c>
      <c r="S33" s="10" t="str">
        <f>_xlfn.XLOOKUP(A33,'United MAMP All Components'!A:A,'United MAMP All Components'!I:I)</f>
        <v>0.00</v>
      </c>
      <c r="T33" s="10">
        <f t="shared" si="5"/>
        <v>0</v>
      </c>
      <c r="U33" s="10">
        <f>_xlfn.XLOOKUP(A33,'Icyte Report'!A:A,'Icyte Report'!AC:AC)</f>
        <v>0</v>
      </c>
      <c r="V33" s="10" t="str">
        <f>_xlfn.XLOOKUP(A33,'United MAMP All Components'!A:A,'United MAMP All Components'!K:K)</f>
        <v>0.00</v>
      </c>
      <c r="W33" s="10">
        <f t="shared" si="6"/>
        <v>0</v>
      </c>
      <c r="X33" s="10">
        <f>_xlfn.XLOOKUP(A33,'Icyte Report'!A:A,'Icyte Report'!AD:AD)</f>
        <v>0</v>
      </c>
      <c r="Y33" s="10" t="str">
        <f>_xlfn.XLOOKUP(A33,'United MAMP All Components'!A:A,'United MAMP All Components'!L:L)</f>
        <v>0.00</v>
      </c>
      <c r="Z33" s="10">
        <f t="shared" si="7"/>
        <v>0</v>
      </c>
      <c r="AA33" s="10">
        <f>_xlfn.XLOOKUP(A33,'Icyte Report'!A:A,'Icyte Report'!AE:AE)</f>
        <v>0</v>
      </c>
      <c r="AB33" s="10" t="str">
        <f>_xlfn.XLOOKUP(A33,'United MAMP All Components'!A:A,'United MAMP All Components'!N:N)</f>
        <v>0.00</v>
      </c>
      <c r="AC33" s="10">
        <f t="shared" si="8"/>
        <v>0</v>
      </c>
      <c r="AD33" s="10">
        <f>_xlfn.XLOOKUP(A33,'Icyte Report'!A:A,'Icyte Report'!AF:AF)</f>
        <v>30</v>
      </c>
      <c r="AE33" s="10" t="str">
        <f>_xlfn.XLOOKUP(A33,'United MAMP All Components'!A:A,'United MAMP All Components'!O:O)</f>
        <v>60.00</v>
      </c>
      <c r="AF33" s="10">
        <f t="shared" si="9"/>
        <v>-30</v>
      </c>
      <c r="AG33" s="10">
        <f>_xlfn.XLOOKUP(A33,'Icyte Report'!A:A,'Icyte Report'!AG:AG)</f>
        <v>0</v>
      </c>
      <c r="AH33" s="10" t="str">
        <f>_xlfn.XLOOKUP(A33,'United MAMP All Components'!A:A,'United MAMP All Components'!Q:Q)</f>
        <v>0.00</v>
      </c>
      <c r="AI33" s="10">
        <f t="shared" si="10"/>
        <v>0</v>
      </c>
      <c r="AJ33" s="10">
        <f>_xlfn.XLOOKUP(A33,'Icyte Report'!A:A,'Icyte Report'!AH:AH)</f>
        <v>0</v>
      </c>
      <c r="AK33" s="10" t="str">
        <f>_xlfn.XLOOKUP(A33,'United MAMP All Components'!A:A,'United MAMP All Components'!R:R)</f>
        <v>0.00</v>
      </c>
      <c r="AL33" s="10">
        <f t="shared" si="11"/>
        <v>0</v>
      </c>
      <c r="AM33" s="10">
        <f>_xlfn.XLOOKUP(A33,'Icyte Report'!A:A,'Icyte Report'!AS:AS)</f>
        <v>5981318.2000000002</v>
      </c>
      <c r="AN33" s="10" t="str">
        <f>_xlfn.XLOOKUP(A33,'United MAMP All Components'!A:A,'United MAMP All Components'!T:T)</f>
        <v>7,821,723.80</v>
      </c>
      <c r="AO33" s="10">
        <f t="shared" si="12"/>
        <v>-1840405.5999999996</v>
      </c>
      <c r="AP33" s="10">
        <f>_xlfn.XLOOKUP(A33,'Icyte Report'!A:A,'Icyte Report'!AT:AT)</f>
        <v>260</v>
      </c>
      <c r="AQ33" s="10" t="str">
        <f>_xlfn.XLOOKUP(A33,'United MAMP All Components'!A:A,'United MAMP All Components'!U:U)</f>
        <v>340.00</v>
      </c>
      <c r="AR33" s="10">
        <f t="shared" si="13"/>
        <v>-80</v>
      </c>
      <c r="AS33" s="10">
        <f>_xlfn.XLOOKUP(A33,'Icyte Report'!A:A,'Icyte Report'!AU:AU)</f>
        <v>0</v>
      </c>
      <c r="AT33" s="10" t="str">
        <f>_xlfn.XLOOKUP(A33,'United MAMP All Components'!A:A,'United MAMP All Components'!AO:AO)</f>
        <v>0.00</v>
      </c>
      <c r="AU33" s="10">
        <f t="shared" si="14"/>
        <v>0</v>
      </c>
      <c r="AV33" s="10">
        <f>_xlfn.XLOOKUP(A33,'Icyte Report'!A:A,'Icyte Report'!AV:AV)</f>
        <v>0</v>
      </c>
      <c r="AW33" s="10" t="str">
        <f>_xlfn.XLOOKUP(A33,'United MAMP All Components'!A:A,'United MAMP All Components'!AP:AP)</f>
        <v>0.00</v>
      </c>
      <c r="AX33" s="10">
        <f t="shared" si="15"/>
        <v>0</v>
      </c>
      <c r="AY33" s="10">
        <f>_xlfn.XLOOKUP(A33,'Icyte Report'!A:A,'Icyte Report'!BH:BH)</f>
        <v>86</v>
      </c>
      <c r="AZ33" s="10" t="e">
        <f>_xlfn.XLOOKUP(A33,'United Smoothed Indirect Inelig'!A:A,'United Smoothed Indirect Inelig'!D:D)</f>
        <v>#N/A</v>
      </c>
      <c r="BA33" s="10" t="e">
        <f t="shared" si="16"/>
        <v>#N/A</v>
      </c>
      <c r="BB33" s="10">
        <f>_xlfn.XLOOKUP(A33,'Icyte Report'!A:A,'Icyte Report'!BK:BK)</f>
        <v>33</v>
      </c>
      <c r="BC33" s="10" t="e">
        <f t="shared" si="17"/>
        <v>#N/A</v>
      </c>
      <c r="BD33" s="10">
        <f>_xlfn.XLOOKUP(A33,'Icyte Report'!A:A,'Icyte Report'!BN:BN)</f>
        <v>0</v>
      </c>
      <c r="BE33" s="10" t="e">
        <f>_xlfn.XLOOKUP(A33,'United Smoothed Indirect Inelig'!A:A,'United Smoothed Indirect Inelig'!C:C)</f>
        <v>#N/A</v>
      </c>
      <c r="BF33" s="10" t="e">
        <f t="shared" si="18"/>
        <v>#N/A</v>
      </c>
      <c r="BG33" s="10">
        <f>_xlfn.XLOOKUP(A33,'Icyte Report'!A:A,'Icyte Report'!BR:BR)</f>
        <v>0</v>
      </c>
      <c r="BH33" s="10" t="e">
        <f>_xlfn.XLOOKUP(A33,'United Smoothed Indirect Inelig'!A:A,'United Smoothed Indirect Inelig'!B:B)</f>
        <v>#N/A</v>
      </c>
      <c r="BI33" s="10" t="e">
        <f t="shared" si="19"/>
        <v>#N/A</v>
      </c>
      <c r="BJ33" s="10">
        <f>_xlfn.XLOOKUP(A33,'Icyte Report'!A:A,'Icyte Report'!BV:BV)</f>
        <v>23005.07</v>
      </c>
      <c r="BK33" s="10" t="e">
        <f>_xlfn.XLOOKUP(A33,'United Smoothed Indirect Inelig'!A:A,'United Smoothed Indirect Inelig'!P:P)</f>
        <v>#N/A</v>
      </c>
      <c r="BL33" s="10" t="e">
        <f t="shared" si="20"/>
        <v>#N/A</v>
      </c>
      <c r="BM33" s="13">
        <f>_xlfn.XLOOKUP(A33,'Icyte Report'!A:A,'Icyte Report'!BW:BW)</f>
        <v>4.4237918215610003E-2</v>
      </c>
      <c r="BN33" s="13" t="e">
        <f>_xlfn.XLOOKUP(A33,'United Smoothed Indirect Inelig'!A:A,'United Smoothed Indirect Inelig'!G:G)+_xlfn.XLOOKUP(A33,'United Smoothed Indirect Inelig'!A:A,'United Smoothed Indirect Inelig'!H:H) + _xlfn.XLOOKUP(A33,'United Smoothed Indirect Inelig'!A:A,'United Smoothed Indirect Inelig'!I:I)+_xlfn.XLOOKUP(A33,'United Smoothed Indirect Inelig'!A:A,'United Smoothed Indirect Inelig'!J:J)</f>
        <v>#N/A</v>
      </c>
      <c r="BO33" s="18" t="e">
        <f t="shared" si="21"/>
        <v>#N/A</v>
      </c>
      <c r="BP33" s="10">
        <f>_xlfn.XLOOKUP(A33,'Icyte Report'!A:A,'Icyte Report'!BY:BY)</f>
        <v>11.50185873605948</v>
      </c>
      <c r="BQ33" s="10" t="e">
        <f>_xlfn.XLOOKUP(A33,'United Smoothed Indirect Inelig'!A:A,'United Smoothed Indirect Inelig'!L:L)+_xlfn.XLOOKUP(A33,'United Smoothed Indirect Inelig'!A:A,'United Smoothed Indirect Inelig'!M:M) + _xlfn.XLOOKUP(A33,'United Smoothed Indirect Inelig'!A:A,'United Smoothed Indirect Inelig'!N:N)+_xlfn.XLOOKUP(A33,'United Smoothed Indirect Inelig'!A:A,'United Smoothed Indirect Inelig'!O:O)</f>
        <v>#N/A</v>
      </c>
      <c r="BR33" s="10" t="e">
        <f t="shared" si="22"/>
        <v>#N/A</v>
      </c>
      <c r="BS33" s="10">
        <f>_xlfn.XLOOKUP(A33,'Icyte Report'!A:A,'Icyte Report'!BZ:BZ)</f>
        <v>5716717.1346468404</v>
      </c>
      <c r="BT33" s="10" t="str">
        <f>_xlfn.XLOOKUP(A33,'United MAMP All Components'!A:A,'United MAMP All Components'!AL:AL)</f>
        <v>7,468,659.88</v>
      </c>
      <c r="BU33" s="10">
        <f t="shared" si="23"/>
        <v>-1751942.7453531595</v>
      </c>
      <c r="BV33" s="26">
        <f>_xlfn.XLOOKUP(A33,'Icyte Report'!A:A,'Icyte Report'!CA:CA)</f>
        <v>248.49814126394051</v>
      </c>
      <c r="BW33" s="22" t="str">
        <f>_xlfn.XLOOKUP(A33,'United MAMP All Components'!A:A,'United MAMP All Components'!AM:AM)</f>
        <v>324.65</v>
      </c>
      <c r="BX33" s="10">
        <f t="shared" si="24"/>
        <v>-76.151858736059467</v>
      </c>
      <c r="BY33" s="10">
        <f>_xlfn.XLOOKUP(A33,'Icyte Report'!A:A,'Icyte Report'!CD:CD)</f>
        <v>0</v>
      </c>
      <c r="BZ33" s="10" t="str">
        <f>_xlfn.XLOOKUP(A33,'United_Smoothed Price Concessio'!A:A,'United_Smoothed Price Concessio'!D:D)</f>
        <v>$0.00</v>
      </c>
      <c r="CA33" s="10">
        <f t="shared" si="25"/>
        <v>0</v>
      </c>
      <c r="CB33" s="10">
        <f>_xlfn.XLOOKUP(A33,'Icyte Report'!A:A,'Icyte Report'!CF:CF)</f>
        <v>2690</v>
      </c>
      <c r="CC33" s="10" t="e">
        <f>_xlfn.XLOOKUP(A33,'United Smoothed Indirect Inelig'!A:A,'United Smoothed Indirect Inelig'!F:F)</f>
        <v>#N/A</v>
      </c>
      <c r="CD33" s="10" t="e">
        <f t="shared" si="26"/>
        <v>#N/A</v>
      </c>
      <c r="CE33" s="10">
        <f>_xlfn.XLOOKUP(A33,'Icyte Report'!A:A,'Icyte Report'!CL:CL)</f>
        <v>58200122.718442626</v>
      </c>
      <c r="CF33" s="10" t="str">
        <f>_xlfn.XLOOKUP(A33,'United_Smoothed Price Concessio'!A:A,'United_Smoothed Price Concessio'!H:H)</f>
        <v>$62,425,762.30</v>
      </c>
      <c r="CG33" s="10">
        <f t="shared" si="27"/>
        <v>-4225639.5815573707</v>
      </c>
      <c r="CH33" s="10">
        <f>_xlfn.XLOOKUP(A33,'Icyte Report'!A:A,'Icyte Report'!CY:CY)</f>
        <v>1532747.8988154151</v>
      </c>
      <c r="CI33" s="10" t="str">
        <f>_xlfn.XLOOKUP(A33,'United_Smoothed Price Concessio'!A:A,'United_Smoothed Price Concessio'!C:C)</f>
        <v>$990,509.73</v>
      </c>
      <c r="CJ33" s="10">
        <f t="shared" si="28"/>
        <v>542238.16881541512</v>
      </c>
      <c r="CK33" s="10">
        <f>_xlfn.XLOOKUP(A33,'Icyte Report'!A:A,'Icyte Report'!CZ:CZ)</f>
        <v>1532747.8988154151</v>
      </c>
      <c r="CL33" s="10" t="str">
        <f>_xlfn.XLOOKUP(A33,'United_Smoothed Price Concessio'!A:A,'United_Smoothed Price Concessio'!G:G)</f>
        <v>$1,312,078.54</v>
      </c>
      <c r="CM33" s="10">
        <f t="shared" si="29"/>
        <v>220669.35881541506</v>
      </c>
      <c r="CN33" s="13">
        <f>_xlfn.XLOOKUP(A33,'Icyte Report'!A:A,'Icyte Report'!DA:DA)</f>
        <v>2.6335819019329999E-2</v>
      </c>
      <c r="CO33" s="13" t="str">
        <f>_xlfn.XLOOKUP(A33,'United_Smoothed Price Concessio'!A:A,'United_Smoothed Price Concessio'!I:I)</f>
        <v>2.101822%</v>
      </c>
      <c r="CP33" s="10">
        <f t="shared" si="30"/>
        <v>5.3175990193299986E-3</v>
      </c>
      <c r="CQ33" s="10">
        <f>_xlfn.XLOOKUP(A33,'Icyte Report'!A:A,'Icyte Report'!DB:DB)</f>
        <v>150554.42784273389</v>
      </c>
      <c r="CR33" s="10" t="str">
        <f>_xlfn.XLOOKUP(A33,'United MAMP All Components'!A:A,'United MAMP All Components'!AX:AX)</f>
        <v>156,977.95</v>
      </c>
      <c r="CS33" s="10">
        <f t="shared" si="31"/>
        <v>-6423.5221572661249</v>
      </c>
      <c r="CT33" s="10">
        <f>_xlfn.XLOOKUP(A33,'Icyte Report'!A:A,'Icyte Report'!DC:DC)</f>
        <v>114334.3426929368</v>
      </c>
      <c r="CU33" s="10" t="str">
        <f>_xlfn.XLOOKUP(A33,'United MAMP All Components'!A:A,'United MAMP All Components'!BA:BA)</f>
        <v>149,373.20</v>
      </c>
      <c r="CV33" s="10">
        <f t="shared" si="32"/>
        <v>-35038.857307063212</v>
      </c>
      <c r="CW33" s="10">
        <f>_xlfn.XLOOKUP(A33,'Icyte Report'!A:A,'Icyte Report'!DD:DD)</f>
        <v>5451828.3641111692</v>
      </c>
      <c r="CX33" s="10" t="str">
        <f>_xlfn.XLOOKUP(A33,'United MAMP All Components'!A:A,'United MAMP All Components'!BD:BD)</f>
        <v>7,162,308.73</v>
      </c>
      <c r="CY33" s="10">
        <f t="shared" si="33"/>
        <v>-1710480.3658888312</v>
      </c>
      <c r="CZ33" s="10">
        <f>_xlfn.XLOOKUP(A33,'Icyte Report'!A:A,'Icyte Report'!DE:DE)</f>
        <v>248.49814126394051</v>
      </c>
      <c r="DA33" s="10" t="str">
        <f>_xlfn.XLOOKUP(A33,'United MAMP All Components'!A:A,'United MAMP All Components'!BE:BE)</f>
        <v>324.65</v>
      </c>
      <c r="DB33" s="10">
        <f t="shared" si="34"/>
        <v>-76.151858736059467</v>
      </c>
      <c r="DC33" s="10">
        <f>_xlfn.XLOOKUP(A33,'Icyte Report'!A:A,'Icyte Report'!DI:DI)</f>
        <v>21939.111239999998</v>
      </c>
      <c r="DD33" s="10" t="str">
        <f>_xlfn.XLOOKUP(A33,'United MAMP All Components'!A:A,'United MAMP All Components'!BG:BG)</f>
        <v>22,061.442929</v>
      </c>
      <c r="DE33" s="10">
        <f t="shared" si="35"/>
        <v>-122.33168900000237</v>
      </c>
    </row>
    <row r="34" spans="1:109" x14ac:dyDescent="0.35">
      <c r="A34" s="10" t="s">
        <v>207</v>
      </c>
      <c r="B34" s="10" t="s">
        <v>445</v>
      </c>
      <c r="C34" s="10">
        <f>_xlfn.XLOOKUP(A34,'Icyte Report'!A:A,'Icyte Report'!W:W)</f>
        <v>0</v>
      </c>
      <c r="D34" s="10" t="str">
        <f>_xlfn.XLOOKUP(A34,'United MAMP All Components'!A:A,'United MAMP All Components'!B:B)</f>
        <v>0.00</v>
      </c>
      <c r="E34" s="10">
        <f t="shared" si="0"/>
        <v>0</v>
      </c>
      <c r="F34" s="10">
        <f>_xlfn.XLOOKUP(A34,'Icyte Report'!A:A,'Icyte Report'!X:X)</f>
        <v>0</v>
      </c>
      <c r="G34" s="10" t="str">
        <f>_xlfn.XLOOKUP(A34,'United MAMP All Components'!A:A,'United MAMP All Components'!C:C)</f>
        <v>0.00</v>
      </c>
      <c r="H34" s="10">
        <f t="shared" si="1"/>
        <v>0</v>
      </c>
      <c r="I34" s="10">
        <f>_xlfn.XLOOKUP(A34,'Icyte Report'!A:A,'Icyte Report'!Y:Y)</f>
        <v>0</v>
      </c>
      <c r="J34" s="10" t="str">
        <f>_xlfn.XLOOKUP(A34,'United MAMP All Components'!A:A,'United MAMP All Components'!E:E)</f>
        <v>0.00</v>
      </c>
      <c r="K34" s="10">
        <f t="shared" si="2"/>
        <v>0</v>
      </c>
      <c r="L34" s="10">
        <f>_xlfn.XLOOKUP(A34,'Icyte Report'!A:A,'Icyte Report'!Z:Z)</f>
        <v>0</v>
      </c>
      <c r="M34" s="10" t="str">
        <f>_xlfn.XLOOKUP(A34,'United MAMP All Components'!A:A,'United MAMP All Components'!F:F)</f>
        <v>0.00</v>
      </c>
      <c r="N34" s="10">
        <f t="shared" si="3"/>
        <v>0</v>
      </c>
      <c r="O34" s="10">
        <f>_xlfn.XLOOKUP(A34,'Icyte Report'!A:A,'Icyte Report'!AA:AA)</f>
        <v>0</v>
      </c>
      <c r="P34" s="10" t="str">
        <f>_xlfn.XLOOKUP(A34,'United MAMP All Components'!A:A,'United MAMP All Components'!H:H)</f>
        <v>0.00</v>
      </c>
      <c r="Q34" s="10">
        <f t="shared" si="4"/>
        <v>0</v>
      </c>
      <c r="R34" s="10">
        <f>_xlfn.XLOOKUP(A34,'Icyte Report'!A:A,'Icyte Report'!AB:AB)</f>
        <v>0</v>
      </c>
      <c r="S34" s="10" t="str">
        <f>_xlfn.XLOOKUP(A34,'United MAMP All Components'!A:A,'United MAMP All Components'!I:I)</f>
        <v>0.00</v>
      </c>
      <c r="T34" s="10">
        <f t="shared" si="5"/>
        <v>0</v>
      </c>
      <c r="U34" s="10">
        <f>_xlfn.XLOOKUP(A34,'Icyte Report'!A:A,'Icyte Report'!AC:AC)</f>
        <v>0</v>
      </c>
      <c r="V34" s="10" t="str">
        <f>_xlfn.XLOOKUP(A34,'United MAMP All Components'!A:A,'United MAMP All Components'!K:K)</f>
        <v>0.00</v>
      </c>
      <c r="W34" s="10">
        <f t="shared" si="6"/>
        <v>0</v>
      </c>
      <c r="X34" s="10">
        <f>_xlfn.XLOOKUP(A34,'Icyte Report'!A:A,'Icyte Report'!AD:AD)</f>
        <v>0</v>
      </c>
      <c r="Y34" s="10" t="str">
        <f>_xlfn.XLOOKUP(A34,'United MAMP All Components'!A:A,'United MAMP All Components'!L:L)</f>
        <v>0.00</v>
      </c>
      <c r="Z34" s="10">
        <f t="shared" si="7"/>
        <v>0</v>
      </c>
      <c r="AA34" s="10">
        <f>_xlfn.XLOOKUP(A34,'Icyte Report'!A:A,'Icyte Report'!AE:AE)</f>
        <v>0</v>
      </c>
      <c r="AB34" s="10" t="str">
        <f>_xlfn.XLOOKUP(A34,'United MAMP All Components'!A:A,'United MAMP All Components'!N:N)</f>
        <v>0.00</v>
      </c>
      <c r="AC34" s="10">
        <f t="shared" si="8"/>
        <v>0</v>
      </c>
      <c r="AD34" s="10">
        <f>_xlfn.XLOOKUP(A34,'Icyte Report'!A:A,'Icyte Report'!AF:AF)</f>
        <v>0</v>
      </c>
      <c r="AE34" s="10" t="str">
        <f>_xlfn.XLOOKUP(A34,'United MAMP All Components'!A:A,'United MAMP All Components'!O:O)</f>
        <v>0.00</v>
      </c>
      <c r="AF34" s="10">
        <f t="shared" si="9"/>
        <v>0</v>
      </c>
      <c r="AG34" s="10">
        <f>_xlfn.XLOOKUP(A34,'Icyte Report'!A:A,'Icyte Report'!AG:AG)</f>
        <v>0</v>
      </c>
      <c r="AH34" s="10" t="str">
        <f>_xlfn.XLOOKUP(A34,'United MAMP All Components'!A:A,'United MAMP All Components'!Q:Q)</f>
        <v>0.00</v>
      </c>
      <c r="AI34" s="10">
        <f t="shared" si="10"/>
        <v>0</v>
      </c>
      <c r="AJ34" s="10">
        <f>_xlfn.XLOOKUP(A34,'Icyte Report'!A:A,'Icyte Report'!AH:AH)</f>
        <v>0</v>
      </c>
      <c r="AK34" s="10" t="str">
        <f>_xlfn.XLOOKUP(A34,'United MAMP All Components'!A:A,'United MAMP All Components'!R:R)</f>
        <v>0.00</v>
      </c>
      <c r="AL34" s="10">
        <f t="shared" si="11"/>
        <v>0</v>
      </c>
      <c r="AM34" s="10">
        <f>_xlfn.XLOOKUP(A34,'Icyte Report'!A:A,'Icyte Report'!AS:AS)</f>
        <v>0</v>
      </c>
      <c r="AN34" s="10" t="str">
        <f>_xlfn.XLOOKUP(A34,'United MAMP All Components'!A:A,'United MAMP All Components'!T:T)</f>
        <v>0.00</v>
      </c>
      <c r="AO34" s="10">
        <f t="shared" si="12"/>
        <v>0</v>
      </c>
      <c r="AP34" s="10">
        <f>_xlfn.XLOOKUP(A34,'Icyte Report'!A:A,'Icyte Report'!AT:AT)</f>
        <v>0</v>
      </c>
      <c r="AQ34" s="10" t="str">
        <f>_xlfn.XLOOKUP(A34,'United MAMP All Components'!A:A,'United MAMP All Components'!U:U)</f>
        <v>0.00</v>
      </c>
      <c r="AR34" s="10">
        <f t="shared" si="13"/>
        <v>0</v>
      </c>
      <c r="AS34" s="10">
        <f>_xlfn.XLOOKUP(A34,'Icyte Report'!A:A,'Icyte Report'!AU:AU)</f>
        <v>0</v>
      </c>
      <c r="AT34" s="10" t="str">
        <f>_xlfn.XLOOKUP(A34,'United MAMP All Components'!A:A,'United MAMP All Components'!AO:AO)</f>
        <v>0.00</v>
      </c>
      <c r="AU34" s="10">
        <f t="shared" si="14"/>
        <v>0</v>
      </c>
      <c r="AV34" s="10">
        <f>_xlfn.XLOOKUP(A34,'Icyte Report'!A:A,'Icyte Report'!AV:AV)</f>
        <v>0</v>
      </c>
      <c r="AW34" s="10" t="str">
        <f>_xlfn.XLOOKUP(A34,'United MAMP All Components'!A:A,'United MAMP All Components'!AP:AP)</f>
        <v>0.00</v>
      </c>
      <c r="AX34" s="10">
        <f t="shared" si="15"/>
        <v>0</v>
      </c>
      <c r="AY34" s="10">
        <f>_xlfn.XLOOKUP(A34,'Icyte Report'!A:A,'Icyte Report'!BH:BH)</f>
        <v>86</v>
      </c>
      <c r="AZ34" s="10" t="e">
        <f>_xlfn.XLOOKUP(A34,'United Smoothed Indirect Inelig'!A:A,'United Smoothed Indirect Inelig'!D:D)</f>
        <v>#N/A</v>
      </c>
      <c r="BA34" s="10" t="e">
        <f t="shared" si="16"/>
        <v>#N/A</v>
      </c>
      <c r="BB34" s="10">
        <f>_xlfn.XLOOKUP(A34,'Icyte Report'!A:A,'Icyte Report'!BK:BK)</f>
        <v>33</v>
      </c>
      <c r="BC34" s="10" t="e">
        <f t="shared" si="17"/>
        <v>#N/A</v>
      </c>
      <c r="BD34" s="10">
        <f>_xlfn.XLOOKUP(A34,'Icyte Report'!A:A,'Icyte Report'!BN:BN)</f>
        <v>0</v>
      </c>
      <c r="BE34" s="10" t="e">
        <f>_xlfn.XLOOKUP(A34,'United Smoothed Indirect Inelig'!A:A,'United Smoothed Indirect Inelig'!C:C)</f>
        <v>#N/A</v>
      </c>
      <c r="BF34" s="10" t="e">
        <f t="shared" si="18"/>
        <v>#N/A</v>
      </c>
      <c r="BG34" s="10">
        <f>_xlfn.XLOOKUP(A34,'Icyte Report'!A:A,'Icyte Report'!BR:BR)</f>
        <v>0</v>
      </c>
      <c r="BH34" s="10" t="e">
        <f>_xlfn.XLOOKUP(A34,'United Smoothed Indirect Inelig'!A:A,'United Smoothed Indirect Inelig'!B:B)</f>
        <v>#N/A</v>
      </c>
      <c r="BI34" s="10" t="e">
        <f t="shared" si="19"/>
        <v>#N/A</v>
      </c>
      <c r="BJ34" s="10">
        <f>_xlfn.XLOOKUP(A34,'Icyte Report'!A:A,'Icyte Report'!BV:BV)</f>
        <v>0</v>
      </c>
      <c r="BK34" s="10" t="e">
        <f>_xlfn.XLOOKUP(A34,'United Smoothed Indirect Inelig'!A:A,'United Smoothed Indirect Inelig'!P:P)</f>
        <v>#N/A</v>
      </c>
      <c r="BL34" s="10" t="e">
        <f t="shared" si="20"/>
        <v>#N/A</v>
      </c>
      <c r="BM34" s="13">
        <f>_xlfn.XLOOKUP(A34,'Icyte Report'!A:A,'Icyte Report'!BW:BW)</f>
        <v>4.4237918215610003E-2</v>
      </c>
      <c r="BN34" s="13" t="e">
        <f>_xlfn.XLOOKUP(A34,'United Smoothed Indirect Inelig'!A:A,'United Smoothed Indirect Inelig'!G:G)+_xlfn.XLOOKUP(A34,'United Smoothed Indirect Inelig'!A:A,'United Smoothed Indirect Inelig'!H:H) + _xlfn.XLOOKUP(A34,'United Smoothed Indirect Inelig'!A:A,'United Smoothed Indirect Inelig'!I:I)+_xlfn.XLOOKUP(A34,'United Smoothed Indirect Inelig'!A:A,'United Smoothed Indirect Inelig'!J:J)</f>
        <v>#N/A</v>
      </c>
      <c r="BO34" s="18" t="e">
        <f t="shared" si="21"/>
        <v>#N/A</v>
      </c>
      <c r="BP34" s="10">
        <f>_xlfn.XLOOKUP(A34,'Icyte Report'!A:A,'Icyte Report'!BY:BY)</f>
        <v>0</v>
      </c>
      <c r="BQ34" s="10" t="e">
        <f>_xlfn.XLOOKUP(A34,'United Smoothed Indirect Inelig'!A:A,'United Smoothed Indirect Inelig'!L:L)+_xlfn.XLOOKUP(A34,'United Smoothed Indirect Inelig'!A:A,'United Smoothed Indirect Inelig'!M:M) + _xlfn.XLOOKUP(A34,'United Smoothed Indirect Inelig'!A:A,'United Smoothed Indirect Inelig'!N:N)+_xlfn.XLOOKUP(A34,'United Smoothed Indirect Inelig'!A:A,'United Smoothed Indirect Inelig'!O:O)</f>
        <v>#N/A</v>
      </c>
      <c r="BR34" s="10" t="e">
        <f t="shared" si="22"/>
        <v>#N/A</v>
      </c>
      <c r="BS34" s="10">
        <f>_xlfn.XLOOKUP(A34,'Icyte Report'!A:A,'Icyte Report'!BZ:BZ)</f>
        <v>0</v>
      </c>
      <c r="BT34" s="10" t="str">
        <f>_xlfn.XLOOKUP(A34,'United MAMP All Components'!A:A,'United MAMP All Components'!AL:AL)</f>
        <v>0.00</v>
      </c>
      <c r="BU34" s="10">
        <f t="shared" si="23"/>
        <v>0</v>
      </c>
      <c r="BV34" s="26">
        <f>_xlfn.XLOOKUP(A34,'Icyte Report'!A:A,'Icyte Report'!CA:CA)</f>
        <v>0</v>
      </c>
      <c r="BW34" s="22" t="str">
        <f>_xlfn.XLOOKUP(A34,'United MAMP All Components'!A:A,'United MAMP All Components'!AM:AM)</f>
        <v>0.00</v>
      </c>
      <c r="BX34" s="10">
        <f t="shared" si="24"/>
        <v>0</v>
      </c>
      <c r="BY34" s="10">
        <f>_xlfn.XLOOKUP(A34,'Icyte Report'!A:A,'Icyte Report'!CD:CD)</f>
        <v>0</v>
      </c>
      <c r="BZ34" s="10" t="str">
        <f>_xlfn.XLOOKUP(A34,'United_Smoothed Price Concessio'!A:A,'United_Smoothed Price Concessio'!D:D)</f>
        <v>$0.00</v>
      </c>
      <c r="CA34" s="10">
        <f t="shared" si="25"/>
        <v>0</v>
      </c>
      <c r="CB34" s="10">
        <f>_xlfn.XLOOKUP(A34,'Icyte Report'!A:A,'Icyte Report'!CF:CF)</f>
        <v>2690</v>
      </c>
      <c r="CC34" s="10" t="e">
        <f>_xlfn.XLOOKUP(A34,'United Smoothed Indirect Inelig'!A:A,'United Smoothed Indirect Inelig'!F:F)</f>
        <v>#N/A</v>
      </c>
      <c r="CD34" s="10" t="e">
        <f t="shared" si="26"/>
        <v>#N/A</v>
      </c>
      <c r="CE34" s="10">
        <f>_xlfn.XLOOKUP(A34,'Icyte Report'!A:A,'Icyte Report'!CL:CL)</f>
        <v>60884269.600000001</v>
      </c>
      <c r="CF34" s="10" t="str">
        <f>_xlfn.XLOOKUP(A34,'United_Smoothed Price Concessio'!A:A,'United_Smoothed Price Concessio'!H:H)</f>
        <v>$62,425,762.30</v>
      </c>
      <c r="CG34" s="10">
        <f t="shared" si="27"/>
        <v>-1541492.6999999955</v>
      </c>
      <c r="CH34" s="10">
        <f>_xlfn.XLOOKUP(A34,'Icyte Report'!A:A,'Icyte Report'!CY:CY)</f>
        <v>1532747.8988154151</v>
      </c>
      <c r="CI34" s="10" t="str">
        <f>_xlfn.XLOOKUP(A34,'United_Smoothed Price Concessio'!A:A,'United_Smoothed Price Concessio'!C:C)</f>
        <v>$990,509.73</v>
      </c>
      <c r="CJ34" s="10">
        <f t="shared" si="28"/>
        <v>542238.16881541512</v>
      </c>
      <c r="CK34" s="10">
        <f>_xlfn.XLOOKUP(A34,'Icyte Report'!A:A,'Icyte Report'!CZ:CZ)</f>
        <v>1532747.8988154151</v>
      </c>
      <c r="CL34" s="10" t="str">
        <f>_xlfn.XLOOKUP(A34,'United_Smoothed Price Concessio'!A:A,'United_Smoothed Price Concessio'!G:G)</f>
        <v>$1,312,078.54</v>
      </c>
      <c r="CM34" s="10">
        <f t="shared" si="29"/>
        <v>220669.35881541506</v>
      </c>
      <c r="CN34" s="13">
        <f>_xlfn.XLOOKUP(A34,'Icyte Report'!A:A,'Icyte Report'!DA:DA)</f>
        <v>2.5174776816499999E-2</v>
      </c>
      <c r="CO34" s="13" t="str">
        <f>_xlfn.XLOOKUP(A34,'United_Smoothed Price Concessio'!A:A,'United_Smoothed Price Concessio'!I:I)</f>
        <v>2.101822%</v>
      </c>
      <c r="CP34" s="10">
        <f t="shared" si="30"/>
        <v>4.1565568164999983E-3</v>
      </c>
      <c r="CQ34" s="10">
        <f>_xlfn.XLOOKUP(A34,'Icyte Report'!A:A,'Icyte Report'!DB:DB)</f>
        <v>0</v>
      </c>
      <c r="CR34" s="10" t="str">
        <f>_xlfn.XLOOKUP(A34,'United MAMP All Components'!A:A,'United MAMP All Components'!AX:AX)</f>
        <v>156,977.95</v>
      </c>
      <c r="CS34" s="10">
        <f t="shared" si="31"/>
        <v>-156977.95000000001</v>
      </c>
      <c r="CT34" s="10">
        <f>_xlfn.XLOOKUP(A34,'Icyte Report'!A:A,'Icyte Report'!DC:DC)</f>
        <v>0</v>
      </c>
      <c r="CU34" s="10" t="str">
        <f>_xlfn.XLOOKUP(A34,'United MAMP All Components'!A:A,'United MAMP All Components'!BA:BA)</f>
        <v>149,373.20</v>
      </c>
      <c r="CV34" s="10">
        <f t="shared" si="32"/>
        <v>-149373.20000000001</v>
      </c>
      <c r="CW34" s="10">
        <f>_xlfn.XLOOKUP(A34,'Icyte Report'!A:A,'Icyte Report'!DD:DD)</f>
        <v>0</v>
      </c>
      <c r="CX34" s="10" t="str">
        <f>_xlfn.XLOOKUP(A34,'United MAMP All Components'!A:A,'United MAMP All Components'!BD:BD)</f>
        <v>7,162,308.73</v>
      </c>
      <c r="CY34" s="10">
        <f t="shared" si="33"/>
        <v>-7162308.7300000004</v>
      </c>
      <c r="CZ34" s="10">
        <f>_xlfn.XLOOKUP(A34,'Icyte Report'!A:A,'Icyte Report'!DE:DE)</f>
        <v>0</v>
      </c>
      <c r="DA34" s="10" t="str">
        <f>_xlfn.XLOOKUP(A34,'United MAMP All Components'!A:A,'United MAMP All Components'!BE:BE)</f>
        <v>324.65</v>
      </c>
      <c r="DB34" s="10">
        <f t="shared" si="34"/>
        <v>-324.64999999999998</v>
      </c>
      <c r="DC34" s="10">
        <f>_xlfn.XLOOKUP(A34,'Icyte Report'!A:A,'Icyte Report'!DI:DI)</f>
        <v>21939.111239999998</v>
      </c>
      <c r="DD34" s="10" t="str">
        <f>_xlfn.XLOOKUP(A34,'United MAMP All Components'!A:A,'United MAMP All Components'!BG:BG)</f>
        <v>22,061.442929</v>
      </c>
      <c r="DE34" s="10">
        <f t="shared" si="35"/>
        <v>-122.33168900000237</v>
      </c>
    </row>
    <row r="35" spans="1:109" x14ac:dyDescent="0.35">
      <c r="A35" s="10" t="s">
        <v>190</v>
      </c>
      <c r="B35" s="10" t="s">
        <v>446</v>
      </c>
      <c r="C35" s="10">
        <f>_xlfn.XLOOKUP(A35,'Icyte Report'!A:A,'Icyte Report'!W:W)</f>
        <v>14583.1</v>
      </c>
      <c r="D35" s="10" t="str">
        <f>_xlfn.XLOOKUP(A35,'United MAMP All Components'!A:A,'United MAMP All Components'!B:B)</f>
        <v>0.00</v>
      </c>
      <c r="E35" s="10">
        <f t="shared" si="0"/>
        <v>14583.1</v>
      </c>
      <c r="F35" s="10">
        <f>_xlfn.XLOOKUP(A35,'Icyte Report'!A:A,'Icyte Report'!X:X)</f>
        <v>50</v>
      </c>
      <c r="G35" s="10" t="str">
        <f>_xlfn.XLOOKUP(A35,'United MAMP All Components'!A:A,'United MAMP All Components'!C:C)</f>
        <v>0.00</v>
      </c>
      <c r="H35" s="10">
        <f t="shared" si="1"/>
        <v>50</v>
      </c>
      <c r="I35" s="10">
        <f>_xlfn.XLOOKUP(A35,'Icyte Report'!A:A,'Icyte Report'!Y:Y)</f>
        <v>0</v>
      </c>
      <c r="J35" s="10" t="str">
        <f>_xlfn.XLOOKUP(A35,'United MAMP All Components'!A:A,'United MAMP All Components'!E:E)</f>
        <v>0.00</v>
      </c>
      <c r="K35" s="10">
        <f t="shared" si="2"/>
        <v>0</v>
      </c>
      <c r="L35" s="10">
        <f>_xlfn.XLOOKUP(A35,'Icyte Report'!A:A,'Icyte Report'!Z:Z)</f>
        <v>0</v>
      </c>
      <c r="M35" s="10" t="str">
        <f>_xlfn.XLOOKUP(A35,'United MAMP All Components'!A:A,'United MAMP All Components'!F:F)</f>
        <v>0.00</v>
      </c>
      <c r="N35" s="10">
        <f t="shared" si="3"/>
        <v>0</v>
      </c>
      <c r="O35" s="10">
        <f>_xlfn.XLOOKUP(A35,'Icyte Report'!A:A,'Icyte Report'!AA:AA)</f>
        <v>14583.1</v>
      </c>
      <c r="P35" s="10" t="str">
        <f>_xlfn.XLOOKUP(A35,'United MAMP All Components'!A:A,'United MAMP All Components'!H:H)</f>
        <v>0.00</v>
      </c>
      <c r="Q35" s="10">
        <f t="shared" si="4"/>
        <v>14583.1</v>
      </c>
      <c r="R35" s="10">
        <f>_xlfn.XLOOKUP(A35,'Icyte Report'!A:A,'Icyte Report'!AB:AB)</f>
        <v>10</v>
      </c>
      <c r="S35" s="10" t="str">
        <f>_xlfn.XLOOKUP(A35,'United MAMP All Components'!A:A,'United MAMP All Components'!I:I)</f>
        <v>0.00</v>
      </c>
      <c r="T35" s="10">
        <f t="shared" si="5"/>
        <v>10</v>
      </c>
      <c r="U35" s="10">
        <f>_xlfn.XLOOKUP(A35,'Icyte Report'!A:A,'Icyte Report'!AC:AC)</f>
        <v>0</v>
      </c>
      <c r="V35" s="10" t="str">
        <f>_xlfn.XLOOKUP(A35,'United MAMP All Components'!A:A,'United MAMP All Components'!K:K)</f>
        <v>0.00</v>
      </c>
      <c r="W35" s="10">
        <f t="shared" si="6"/>
        <v>0</v>
      </c>
      <c r="X35" s="10">
        <f>_xlfn.XLOOKUP(A35,'Icyte Report'!A:A,'Icyte Report'!AD:AD)</f>
        <v>0</v>
      </c>
      <c r="Y35" s="10" t="str">
        <f>_xlfn.XLOOKUP(A35,'United MAMP All Components'!A:A,'United MAMP All Components'!L:L)</f>
        <v>0.00</v>
      </c>
      <c r="Z35" s="10">
        <f t="shared" si="7"/>
        <v>0</v>
      </c>
      <c r="AA35" s="10">
        <f>_xlfn.XLOOKUP(A35,'Icyte Report'!A:A,'Icyte Report'!AE:AE)</f>
        <v>0</v>
      </c>
      <c r="AB35" s="10" t="str">
        <f>_xlfn.XLOOKUP(A35,'United MAMP All Components'!A:A,'United MAMP All Components'!N:N)</f>
        <v>0.00</v>
      </c>
      <c r="AC35" s="10">
        <f t="shared" si="8"/>
        <v>0</v>
      </c>
      <c r="AD35" s="10">
        <f>_xlfn.XLOOKUP(A35,'Icyte Report'!A:A,'Icyte Report'!AF:AF)</f>
        <v>40</v>
      </c>
      <c r="AE35" s="10" t="str">
        <f>_xlfn.XLOOKUP(A35,'United MAMP All Components'!A:A,'United MAMP All Components'!O:O)</f>
        <v>0.00</v>
      </c>
      <c r="AF35" s="10">
        <f t="shared" si="9"/>
        <v>40</v>
      </c>
      <c r="AG35" s="10">
        <f>_xlfn.XLOOKUP(A35,'Icyte Report'!A:A,'Icyte Report'!AG:AG)</f>
        <v>0</v>
      </c>
      <c r="AH35" s="10" t="str">
        <f>_xlfn.XLOOKUP(A35,'United MAMP All Components'!A:A,'United MAMP All Components'!Q:Q)</f>
        <v>0.00</v>
      </c>
      <c r="AI35" s="10">
        <f t="shared" si="10"/>
        <v>0</v>
      </c>
      <c r="AJ35" s="10">
        <f>_xlfn.XLOOKUP(A35,'Icyte Report'!A:A,'Icyte Report'!AH:AH)</f>
        <v>0</v>
      </c>
      <c r="AK35" s="10" t="str">
        <f>_xlfn.XLOOKUP(A35,'United MAMP All Components'!A:A,'United MAMP All Components'!R:R)</f>
        <v>0.00</v>
      </c>
      <c r="AL35" s="10">
        <f t="shared" si="11"/>
        <v>0</v>
      </c>
      <c r="AM35" s="10">
        <f>_xlfn.XLOOKUP(A35,'Icyte Report'!A:A,'Icyte Report'!AS:AS)</f>
        <v>0</v>
      </c>
      <c r="AN35" s="10" t="str">
        <f>_xlfn.XLOOKUP(A35,'United MAMP All Components'!A:A,'United MAMP All Components'!T:T)</f>
        <v>0.00</v>
      </c>
      <c r="AO35" s="10">
        <f t="shared" si="12"/>
        <v>0</v>
      </c>
      <c r="AP35" s="10">
        <f>_xlfn.XLOOKUP(A35,'Icyte Report'!A:A,'Icyte Report'!AT:AT)</f>
        <v>0</v>
      </c>
      <c r="AQ35" s="10" t="str">
        <f>_xlfn.XLOOKUP(A35,'United MAMP All Components'!A:A,'United MAMP All Components'!U:U)</f>
        <v>0.00</v>
      </c>
      <c r="AR35" s="10">
        <f t="shared" si="13"/>
        <v>0</v>
      </c>
      <c r="AS35" s="10">
        <f>_xlfn.XLOOKUP(A35,'Icyte Report'!A:A,'Icyte Report'!AU:AU)</f>
        <v>0</v>
      </c>
      <c r="AT35" s="10" t="str">
        <f>_xlfn.XLOOKUP(A35,'United MAMP All Components'!A:A,'United MAMP All Components'!AO:AO)</f>
        <v>0.00</v>
      </c>
      <c r="AU35" s="10">
        <f t="shared" si="14"/>
        <v>0</v>
      </c>
      <c r="AV35" s="10">
        <f>_xlfn.XLOOKUP(A35,'Icyte Report'!A:A,'Icyte Report'!AV:AV)</f>
        <v>0</v>
      </c>
      <c r="AW35" s="10" t="str">
        <f>_xlfn.XLOOKUP(A35,'United MAMP All Components'!A:A,'United MAMP All Components'!AP:AP)</f>
        <v>0.00</v>
      </c>
      <c r="AX35" s="10">
        <f t="shared" si="15"/>
        <v>0</v>
      </c>
      <c r="AY35" s="10">
        <f>_xlfn.XLOOKUP(A35,'Icyte Report'!A:A,'Icyte Report'!BH:BH)</f>
        <v>0</v>
      </c>
      <c r="AZ35" s="10" t="e">
        <f>_xlfn.XLOOKUP(A35,'United Smoothed Indirect Inelig'!A:A,'United Smoothed Indirect Inelig'!D:D)</f>
        <v>#N/A</v>
      </c>
      <c r="BA35" s="10" t="e">
        <f t="shared" si="16"/>
        <v>#N/A</v>
      </c>
      <c r="BB35" s="10">
        <f>_xlfn.XLOOKUP(A35,'Icyte Report'!A:A,'Icyte Report'!BK:BK)</f>
        <v>5</v>
      </c>
      <c r="BC35" s="10" t="e">
        <f t="shared" si="17"/>
        <v>#N/A</v>
      </c>
      <c r="BD35" s="10">
        <f>_xlfn.XLOOKUP(A35,'Icyte Report'!A:A,'Icyte Report'!BN:BN)</f>
        <v>0</v>
      </c>
      <c r="BE35" s="10" t="e">
        <f>_xlfn.XLOOKUP(A35,'United Smoothed Indirect Inelig'!A:A,'United Smoothed Indirect Inelig'!C:C)</f>
        <v>#N/A</v>
      </c>
      <c r="BF35" s="10" t="e">
        <f t="shared" si="18"/>
        <v>#N/A</v>
      </c>
      <c r="BG35" s="10">
        <f>_xlfn.XLOOKUP(A35,'Icyte Report'!A:A,'Icyte Report'!BR:BR)</f>
        <v>0</v>
      </c>
      <c r="BH35" s="10" t="e">
        <f>_xlfn.XLOOKUP(A35,'United Smoothed Indirect Inelig'!A:A,'United Smoothed Indirect Inelig'!B:B)</f>
        <v>#N/A</v>
      </c>
      <c r="BI35" s="10" t="e">
        <f t="shared" si="19"/>
        <v>#N/A</v>
      </c>
      <c r="BJ35" s="10">
        <f>_xlfn.XLOOKUP(A35,'Icyte Report'!A:A,'Icyte Report'!BV:BV)</f>
        <v>0</v>
      </c>
      <c r="BK35" s="10" t="e">
        <f>_xlfn.XLOOKUP(A35,'United Smoothed Indirect Inelig'!A:A,'United Smoothed Indirect Inelig'!P:P)</f>
        <v>#N/A</v>
      </c>
      <c r="BL35" s="10" t="e">
        <f t="shared" si="20"/>
        <v>#N/A</v>
      </c>
      <c r="BM35" s="13">
        <f>_xlfn.XLOOKUP(A35,'Icyte Report'!A:A,'Icyte Report'!BW:BW)</f>
        <v>0</v>
      </c>
      <c r="BN35" s="13" t="e">
        <f>_xlfn.XLOOKUP(A35,'United Smoothed Indirect Inelig'!A:A,'United Smoothed Indirect Inelig'!G:G)+_xlfn.XLOOKUP(A35,'United Smoothed Indirect Inelig'!A:A,'United Smoothed Indirect Inelig'!H:H) + _xlfn.XLOOKUP(A35,'United Smoothed Indirect Inelig'!A:A,'United Smoothed Indirect Inelig'!I:I)+_xlfn.XLOOKUP(A35,'United Smoothed Indirect Inelig'!A:A,'United Smoothed Indirect Inelig'!J:J)</f>
        <v>#N/A</v>
      </c>
      <c r="BO35" s="18" t="e">
        <f t="shared" si="21"/>
        <v>#N/A</v>
      </c>
      <c r="BP35" s="10">
        <f>_xlfn.XLOOKUP(A35,'Icyte Report'!A:A,'Icyte Report'!BY:BY)</f>
        <v>0</v>
      </c>
      <c r="BQ35" s="10" t="e">
        <f>_xlfn.XLOOKUP(A35,'United Smoothed Indirect Inelig'!A:A,'United Smoothed Indirect Inelig'!L:L)+_xlfn.XLOOKUP(A35,'United Smoothed Indirect Inelig'!A:A,'United Smoothed Indirect Inelig'!M:M) + _xlfn.XLOOKUP(A35,'United Smoothed Indirect Inelig'!A:A,'United Smoothed Indirect Inelig'!N:N)+_xlfn.XLOOKUP(A35,'United Smoothed Indirect Inelig'!A:A,'United Smoothed Indirect Inelig'!O:O)</f>
        <v>#N/A</v>
      </c>
      <c r="BR35" s="10" t="e">
        <f t="shared" si="22"/>
        <v>#N/A</v>
      </c>
      <c r="BS35" s="10">
        <f>_xlfn.XLOOKUP(A35,'Icyte Report'!A:A,'Icyte Report'!BZ:BZ)</f>
        <v>0</v>
      </c>
      <c r="BT35" s="10" t="str">
        <f>_xlfn.XLOOKUP(A35,'United MAMP All Components'!A:A,'United MAMP All Components'!AL:AL)</f>
        <v>0.00</v>
      </c>
      <c r="BU35" s="10">
        <f t="shared" si="23"/>
        <v>0</v>
      </c>
      <c r="BV35" s="26">
        <f>_xlfn.XLOOKUP(A35,'Icyte Report'!A:A,'Icyte Report'!CA:CA)</f>
        <v>0</v>
      </c>
      <c r="BW35" s="22" t="str">
        <f>_xlfn.XLOOKUP(A35,'United MAMP All Components'!A:A,'United MAMP All Components'!AM:AM)</f>
        <v>0.00</v>
      </c>
      <c r="BX35" s="10">
        <f t="shared" si="24"/>
        <v>0</v>
      </c>
      <c r="BY35" s="10">
        <f>_xlfn.XLOOKUP(A35,'Icyte Report'!A:A,'Icyte Report'!CD:CD)</f>
        <v>0</v>
      </c>
      <c r="BZ35" s="10" t="str">
        <f>_xlfn.XLOOKUP(A35,'United_Smoothed Price Concessio'!A:A,'United_Smoothed Price Concessio'!D:D)</f>
        <v>$0.00</v>
      </c>
      <c r="CA35" s="10">
        <f t="shared" si="25"/>
        <v>0</v>
      </c>
      <c r="CB35" s="10">
        <f>_xlfn.XLOOKUP(A35,'Icyte Report'!A:A,'Icyte Report'!CF:CF)</f>
        <v>0</v>
      </c>
      <c r="CC35" s="10" t="e">
        <f>_xlfn.XLOOKUP(A35,'United Smoothed Indirect Inelig'!A:A,'United Smoothed Indirect Inelig'!F:F)</f>
        <v>#N/A</v>
      </c>
      <c r="CD35" s="10" t="e">
        <f t="shared" si="26"/>
        <v>#N/A</v>
      </c>
      <c r="CE35" s="10">
        <f>_xlfn.XLOOKUP(A35,'Icyte Report'!A:A,'Icyte Report'!CL:CL)</f>
        <v>-7149.1889344262299</v>
      </c>
      <c r="CF35" s="10" t="str">
        <f>_xlfn.XLOOKUP(A35,'United_Smoothed Price Concessio'!A:A,'United_Smoothed Price Concessio'!H:H)</f>
        <v>$0.00</v>
      </c>
      <c r="CG35" s="10">
        <f t="shared" si="27"/>
        <v>-7149.1889344262299</v>
      </c>
      <c r="CH35" s="10">
        <f>_xlfn.XLOOKUP(A35,'Icyte Report'!A:A,'Icyte Report'!CY:CY)</f>
        <v>0</v>
      </c>
      <c r="CI35" s="10" t="str">
        <f>_xlfn.XLOOKUP(A35,'United_Smoothed Price Concessio'!A:A,'United_Smoothed Price Concessio'!C:C)</f>
        <v>$0.00</v>
      </c>
      <c r="CJ35" s="10">
        <f t="shared" si="28"/>
        <v>0</v>
      </c>
      <c r="CK35" s="10">
        <f>_xlfn.XLOOKUP(A35,'Icyte Report'!A:A,'Icyte Report'!CZ:CZ)</f>
        <v>0</v>
      </c>
      <c r="CL35" s="10" t="str">
        <f>_xlfn.XLOOKUP(A35,'United_Smoothed Price Concessio'!A:A,'United_Smoothed Price Concessio'!G:G)</f>
        <v>$0.00</v>
      </c>
      <c r="CM35" s="10">
        <f t="shared" si="29"/>
        <v>0</v>
      </c>
      <c r="CN35" s="13">
        <f>_xlfn.XLOOKUP(A35,'Icyte Report'!A:A,'Icyte Report'!DA:DA)</f>
        <v>0</v>
      </c>
      <c r="CO35" s="13" t="str">
        <f>_xlfn.XLOOKUP(A35,'United_Smoothed Price Concessio'!A:A,'United_Smoothed Price Concessio'!I:I)</f>
        <v>0.000000%</v>
      </c>
      <c r="CP35" s="10">
        <f t="shared" si="30"/>
        <v>0</v>
      </c>
      <c r="CQ35" s="10">
        <f>_xlfn.XLOOKUP(A35,'Icyte Report'!A:A,'Icyte Report'!DB:DB)</f>
        <v>0</v>
      </c>
      <c r="CR35" s="10" t="str">
        <f>_xlfn.XLOOKUP(A35,'United MAMP All Components'!A:A,'United MAMP All Components'!AX:AX)</f>
        <v>0.00</v>
      </c>
      <c r="CS35" s="10">
        <f t="shared" si="31"/>
        <v>0</v>
      </c>
      <c r="CT35" s="10">
        <f>_xlfn.XLOOKUP(A35,'Icyte Report'!A:A,'Icyte Report'!DC:DC)</f>
        <v>0</v>
      </c>
      <c r="CU35" s="10" t="str">
        <f>_xlfn.XLOOKUP(A35,'United MAMP All Components'!A:A,'United MAMP All Components'!BA:BA)</f>
        <v>0.00</v>
      </c>
      <c r="CV35" s="10">
        <f t="shared" si="32"/>
        <v>0</v>
      </c>
      <c r="CW35" s="10">
        <f>_xlfn.XLOOKUP(A35,'Icyte Report'!A:A,'Icyte Report'!DD:DD)</f>
        <v>0</v>
      </c>
      <c r="CX35" s="10" t="str">
        <f>_xlfn.XLOOKUP(A35,'United MAMP All Components'!A:A,'United MAMP All Components'!BD:BD)</f>
        <v>0.00</v>
      </c>
      <c r="CY35" s="10">
        <f t="shared" si="33"/>
        <v>0</v>
      </c>
      <c r="CZ35" s="10">
        <f>_xlfn.XLOOKUP(A35,'Icyte Report'!A:A,'Icyte Report'!DE:DE)</f>
        <v>0</v>
      </c>
      <c r="DA35" s="10" t="str">
        <f>_xlfn.XLOOKUP(A35,'United MAMP All Components'!A:A,'United MAMP All Components'!BE:BE)</f>
        <v>0.00</v>
      </c>
      <c r="DB35" s="10">
        <f t="shared" si="34"/>
        <v>0</v>
      </c>
      <c r="DC35" s="10">
        <f>_xlfn.XLOOKUP(A35,'Icyte Report'!A:A,'Icyte Report'!DI:DI)</f>
        <v>1458.31</v>
      </c>
      <c r="DD35" s="10" t="str">
        <f>_xlfn.XLOOKUP(A35,'United MAMP All Components'!A:A,'United MAMP All Components'!BG:BG)</f>
        <v>1,458.310000</v>
      </c>
      <c r="DE35" s="10">
        <f t="shared" si="35"/>
        <v>0</v>
      </c>
    </row>
    <row r="36" spans="1:109" x14ac:dyDescent="0.35">
      <c r="A36" s="10" t="s">
        <v>192</v>
      </c>
      <c r="B36" s="10" t="s">
        <v>447</v>
      </c>
      <c r="C36" s="10">
        <f>_xlfn.XLOOKUP(A36,'Icyte Report'!A:A,'Icyte Report'!W:W)</f>
        <v>113748.9</v>
      </c>
      <c r="D36" s="10" t="str">
        <f>_xlfn.XLOOKUP(A36,'United MAMP All Components'!A:A,'United MAMP All Components'!B:B)</f>
        <v>0.00</v>
      </c>
      <c r="E36" s="10">
        <f t="shared" si="0"/>
        <v>113748.9</v>
      </c>
      <c r="F36" s="10">
        <f>_xlfn.XLOOKUP(A36,'Icyte Report'!A:A,'Icyte Report'!X:X)</f>
        <v>40</v>
      </c>
      <c r="G36" s="10" t="str">
        <f>_xlfn.XLOOKUP(A36,'United MAMP All Components'!A:A,'United MAMP All Components'!C:C)</f>
        <v>0.00</v>
      </c>
      <c r="H36" s="10">
        <f t="shared" si="1"/>
        <v>40</v>
      </c>
      <c r="I36" s="10">
        <f>_xlfn.XLOOKUP(A36,'Icyte Report'!A:A,'Icyte Report'!Y:Y)</f>
        <v>0</v>
      </c>
      <c r="J36" s="10" t="str">
        <f>_xlfn.XLOOKUP(A36,'United MAMP All Components'!A:A,'United MAMP All Components'!E:E)</f>
        <v>0.00</v>
      </c>
      <c r="K36" s="10">
        <f t="shared" si="2"/>
        <v>0</v>
      </c>
      <c r="L36" s="10">
        <f>_xlfn.XLOOKUP(A36,'Icyte Report'!A:A,'Icyte Report'!Z:Z)</f>
        <v>0</v>
      </c>
      <c r="M36" s="10" t="str">
        <f>_xlfn.XLOOKUP(A36,'United MAMP All Components'!A:A,'United MAMP All Components'!F:F)</f>
        <v>0.00</v>
      </c>
      <c r="N36" s="10">
        <f t="shared" si="3"/>
        <v>0</v>
      </c>
      <c r="O36" s="10">
        <f>_xlfn.XLOOKUP(A36,'Icyte Report'!A:A,'Icyte Report'!AA:AA)</f>
        <v>113748.9</v>
      </c>
      <c r="P36" s="10" t="str">
        <f>_xlfn.XLOOKUP(A36,'United MAMP All Components'!A:A,'United MAMP All Components'!H:H)</f>
        <v>0.00</v>
      </c>
      <c r="Q36" s="10">
        <f t="shared" si="4"/>
        <v>113748.9</v>
      </c>
      <c r="R36" s="10">
        <f>_xlfn.XLOOKUP(A36,'Icyte Report'!A:A,'Icyte Report'!AB:AB)</f>
        <v>30</v>
      </c>
      <c r="S36" s="10" t="str">
        <f>_xlfn.XLOOKUP(A36,'United MAMP All Components'!A:A,'United MAMP All Components'!I:I)</f>
        <v>0.00</v>
      </c>
      <c r="T36" s="10">
        <f t="shared" si="5"/>
        <v>30</v>
      </c>
      <c r="U36" s="10">
        <f>_xlfn.XLOOKUP(A36,'Icyte Report'!A:A,'Icyte Report'!AC:AC)</f>
        <v>0</v>
      </c>
      <c r="V36" s="10" t="str">
        <f>_xlfn.XLOOKUP(A36,'United MAMP All Components'!A:A,'United MAMP All Components'!K:K)</f>
        <v>0.00</v>
      </c>
      <c r="W36" s="10">
        <f t="shared" si="6"/>
        <v>0</v>
      </c>
      <c r="X36" s="10">
        <f>_xlfn.XLOOKUP(A36,'Icyte Report'!A:A,'Icyte Report'!AD:AD)</f>
        <v>0</v>
      </c>
      <c r="Y36" s="10" t="str">
        <f>_xlfn.XLOOKUP(A36,'United MAMP All Components'!A:A,'United MAMP All Components'!L:L)</f>
        <v>0.00</v>
      </c>
      <c r="Z36" s="10">
        <f t="shared" si="7"/>
        <v>0</v>
      </c>
      <c r="AA36" s="10">
        <f>_xlfn.XLOOKUP(A36,'Icyte Report'!A:A,'Icyte Report'!AE:AE)</f>
        <v>0</v>
      </c>
      <c r="AB36" s="10" t="str">
        <f>_xlfn.XLOOKUP(A36,'United MAMP All Components'!A:A,'United MAMP All Components'!N:N)</f>
        <v>0.00</v>
      </c>
      <c r="AC36" s="10">
        <f t="shared" si="8"/>
        <v>0</v>
      </c>
      <c r="AD36" s="10">
        <f>_xlfn.XLOOKUP(A36,'Icyte Report'!A:A,'Icyte Report'!AF:AF)</f>
        <v>10</v>
      </c>
      <c r="AE36" s="10" t="str">
        <f>_xlfn.XLOOKUP(A36,'United MAMP All Components'!A:A,'United MAMP All Components'!O:O)</f>
        <v>0.00</v>
      </c>
      <c r="AF36" s="10">
        <f t="shared" si="9"/>
        <v>10</v>
      </c>
      <c r="AG36" s="10">
        <f>_xlfn.XLOOKUP(A36,'Icyte Report'!A:A,'Icyte Report'!AG:AG)</f>
        <v>0</v>
      </c>
      <c r="AH36" s="10" t="str">
        <f>_xlfn.XLOOKUP(A36,'United MAMP All Components'!A:A,'United MAMP All Components'!Q:Q)</f>
        <v>0.00</v>
      </c>
      <c r="AI36" s="10">
        <f t="shared" si="10"/>
        <v>0</v>
      </c>
      <c r="AJ36" s="10">
        <f>_xlfn.XLOOKUP(A36,'Icyte Report'!A:A,'Icyte Report'!AH:AH)</f>
        <v>0</v>
      </c>
      <c r="AK36" s="10" t="str">
        <f>_xlfn.XLOOKUP(A36,'United MAMP All Components'!A:A,'United MAMP All Components'!R:R)</f>
        <v>0.00</v>
      </c>
      <c r="AL36" s="10">
        <f t="shared" si="11"/>
        <v>0</v>
      </c>
      <c r="AM36" s="10">
        <f>_xlfn.XLOOKUP(A36,'Icyte Report'!A:A,'Icyte Report'!AS:AS)</f>
        <v>0</v>
      </c>
      <c r="AN36" s="10" t="str">
        <f>_xlfn.XLOOKUP(A36,'United MAMP All Components'!A:A,'United MAMP All Components'!T:T)</f>
        <v>0.00</v>
      </c>
      <c r="AO36" s="10">
        <f t="shared" si="12"/>
        <v>0</v>
      </c>
      <c r="AP36" s="10">
        <f>_xlfn.XLOOKUP(A36,'Icyte Report'!A:A,'Icyte Report'!AT:AT)</f>
        <v>0</v>
      </c>
      <c r="AQ36" s="10" t="str">
        <f>_xlfn.XLOOKUP(A36,'United MAMP All Components'!A:A,'United MAMP All Components'!U:U)</f>
        <v>0.00</v>
      </c>
      <c r="AR36" s="10">
        <f t="shared" si="13"/>
        <v>0</v>
      </c>
      <c r="AS36" s="10">
        <f>_xlfn.XLOOKUP(A36,'Icyte Report'!A:A,'Icyte Report'!AU:AU)</f>
        <v>0</v>
      </c>
      <c r="AT36" s="10" t="str">
        <f>_xlfn.XLOOKUP(A36,'United MAMP All Components'!A:A,'United MAMP All Components'!AO:AO)</f>
        <v>0.00</v>
      </c>
      <c r="AU36" s="10">
        <f t="shared" si="14"/>
        <v>0</v>
      </c>
      <c r="AV36" s="10">
        <f>_xlfn.XLOOKUP(A36,'Icyte Report'!A:A,'Icyte Report'!AV:AV)</f>
        <v>0</v>
      </c>
      <c r="AW36" s="10" t="str">
        <f>_xlfn.XLOOKUP(A36,'United MAMP All Components'!A:A,'United MAMP All Components'!AP:AP)</f>
        <v>0.00</v>
      </c>
      <c r="AX36" s="10">
        <f t="shared" si="15"/>
        <v>0</v>
      </c>
      <c r="AY36" s="10">
        <f>_xlfn.XLOOKUP(A36,'Icyte Report'!A:A,'Icyte Report'!BH:BH)</f>
        <v>0</v>
      </c>
      <c r="AZ36" s="10" t="e">
        <f>_xlfn.XLOOKUP(A36,'United Smoothed Indirect Inelig'!A:A,'United Smoothed Indirect Inelig'!D:D)</f>
        <v>#N/A</v>
      </c>
      <c r="BA36" s="10" t="e">
        <f t="shared" si="16"/>
        <v>#N/A</v>
      </c>
      <c r="BB36" s="10">
        <f>_xlfn.XLOOKUP(A36,'Icyte Report'!A:A,'Icyte Report'!BK:BK)</f>
        <v>6</v>
      </c>
      <c r="BC36" s="10" t="e">
        <f t="shared" si="17"/>
        <v>#N/A</v>
      </c>
      <c r="BD36" s="10">
        <f>_xlfn.XLOOKUP(A36,'Icyte Report'!A:A,'Icyte Report'!BN:BN)</f>
        <v>0</v>
      </c>
      <c r="BE36" s="10" t="e">
        <f>_xlfn.XLOOKUP(A36,'United Smoothed Indirect Inelig'!A:A,'United Smoothed Indirect Inelig'!C:C)</f>
        <v>#N/A</v>
      </c>
      <c r="BF36" s="10" t="e">
        <f t="shared" si="18"/>
        <v>#N/A</v>
      </c>
      <c r="BG36" s="10">
        <f>_xlfn.XLOOKUP(A36,'Icyte Report'!A:A,'Icyte Report'!BR:BR)</f>
        <v>0</v>
      </c>
      <c r="BH36" s="10" t="e">
        <f>_xlfn.XLOOKUP(A36,'United Smoothed Indirect Inelig'!A:A,'United Smoothed Indirect Inelig'!B:B)</f>
        <v>#N/A</v>
      </c>
      <c r="BI36" s="10" t="e">
        <f t="shared" si="19"/>
        <v>#N/A</v>
      </c>
      <c r="BJ36" s="10">
        <f>_xlfn.XLOOKUP(A36,'Icyte Report'!A:A,'Icyte Report'!BV:BV)</f>
        <v>0</v>
      </c>
      <c r="BK36" s="10" t="e">
        <f>_xlfn.XLOOKUP(A36,'United Smoothed Indirect Inelig'!A:A,'United Smoothed Indirect Inelig'!P:P)</f>
        <v>#N/A</v>
      </c>
      <c r="BL36" s="10" t="e">
        <f t="shared" si="20"/>
        <v>#N/A</v>
      </c>
      <c r="BM36" s="13">
        <f>_xlfn.XLOOKUP(A36,'Icyte Report'!A:A,'Icyte Report'!BW:BW)</f>
        <v>0</v>
      </c>
      <c r="BN36" s="13" t="e">
        <f>_xlfn.XLOOKUP(A36,'United Smoothed Indirect Inelig'!A:A,'United Smoothed Indirect Inelig'!G:G)+_xlfn.XLOOKUP(A36,'United Smoothed Indirect Inelig'!A:A,'United Smoothed Indirect Inelig'!H:H) + _xlfn.XLOOKUP(A36,'United Smoothed Indirect Inelig'!A:A,'United Smoothed Indirect Inelig'!I:I)+_xlfn.XLOOKUP(A36,'United Smoothed Indirect Inelig'!A:A,'United Smoothed Indirect Inelig'!J:J)</f>
        <v>#N/A</v>
      </c>
      <c r="BO36" s="18" t="e">
        <f t="shared" si="21"/>
        <v>#N/A</v>
      </c>
      <c r="BP36" s="10">
        <f>_xlfn.XLOOKUP(A36,'Icyte Report'!A:A,'Icyte Report'!BY:BY)</f>
        <v>0</v>
      </c>
      <c r="BQ36" s="10" t="e">
        <f>_xlfn.XLOOKUP(A36,'United Smoothed Indirect Inelig'!A:A,'United Smoothed Indirect Inelig'!L:L)+_xlfn.XLOOKUP(A36,'United Smoothed Indirect Inelig'!A:A,'United Smoothed Indirect Inelig'!M:M) + _xlfn.XLOOKUP(A36,'United Smoothed Indirect Inelig'!A:A,'United Smoothed Indirect Inelig'!N:N)+_xlfn.XLOOKUP(A36,'United Smoothed Indirect Inelig'!A:A,'United Smoothed Indirect Inelig'!O:O)</f>
        <v>#N/A</v>
      </c>
      <c r="BR36" s="10" t="e">
        <f t="shared" si="22"/>
        <v>#N/A</v>
      </c>
      <c r="BS36" s="10">
        <f>_xlfn.XLOOKUP(A36,'Icyte Report'!A:A,'Icyte Report'!BZ:BZ)</f>
        <v>0</v>
      </c>
      <c r="BT36" s="10" t="str">
        <f>_xlfn.XLOOKUP(A36,'United MAMP All Components'!A:A,'United MAMP All Components'!AL:AL)</f>
        <v>0.00</v>
      </c>
      <c r="BU36" s="10">
        <f t="shared" si="23"/>
        <v>0</v>
      </c>
      <c r="BV36" s="26">
        <f>_xlfn.XLOOKUP(A36,'Icyte Report'!A:A,'Icyte Report'!CA:CA)</f>
        <v>0</v>
      </c>
      <c r="BW36" s="22" t="str">
        <f>_xlfn.XLOOKUP(A36,'United MAMP All Components'!A:A,'United MAMP All Components'!AM:AM)</f>
        <v>0.00</v>
      </c>
      <c r="BX36" s="10">
        <f t="shared" si="24"/>
        <v>0</v>
      </c>
      <c r="BY36" s="10">
        <f>_xlfn.XLOOKUP(A36,'Icyte Report'!A:A,'Icyte Report'!CD:CD)</f>
        <v>0</v>
      </c>
      <c r="BZ36" s="10" t="str">
        <f>_xlfn.XLOOKUP(A36,'United_Smoothed Price Concessio'!A:A,'United_Smoothed Price Concessio'!D:D)</f>
        <v>$0.00</v>
      </c>
      <c r="CA36" s="10">
        <f t="shared" si="25"/>
        <v>0</v>
      </c>
      <c r="CB36" s="10">
        <f>_xlfn.XLOOKUP(A36,'Icyte Report'!A:A,'Icyte Report'!CF:CF)</f>
        <v>0</v>
      </c>
      <c r="CC36" s="10" t="e">
        <f>_xlfn.XLOOKUP(A36,'United Smoothed Indirect Inelig'!A:A,'United Smoothed Indirect Inelig'!F:F)</f>
        <v>#N/A</v>
      </c>
      <c r="CD36" s="10" t="e">
        <f t="shared" si="26"/>
        <v>#N/A</v>
      </c>
      <c r="CE36" s="10">
        <f>_xlfn.XLOOKUP(A36,'Icyte Report'!A:A,'Icyte Report'!CL:CL)</f>
        <v>-22305.55327868852</v>
      </c>
      <c r="CF36" s="10" t="str">
        <f>_xlfn.XLOOKUP(A36,'United_Smoothed Price Concessio'!A:A,'United_Smoothed Price Concessio'!H:H)</f>
        <v>$0.00</v>
      </c>
      <c r="CG36" s="10">
        <f t="shared" si="27"/>
        <v>-22305.55327868852</v>
      </c>
      <c r="CH36" s="10">
        <f>_xlfn.XLOOKUP(A36,'Icyte Report'!A:A,'Icyte Report'!CY:CY)</f>
        <v>0</v>
      </c>
      <c r="CI36" s="10" t="str">
        <f>_xlfn.XLOOKUP(A36,'United_Smoothed Price Concessio'!A:A,'United_Smoothed Price Concessio'!C:C)</f>
        <v>$0.00</v>
      </c>
      <c r="CJ36" s="10">
        <f t="shared" si="28"/>
        <v>0</v>
      </c>
      <c r="CK36" s="10">
        <f>_xlfn.XLOOKUP(A36,'Icyte Report'!A:A,'Icyte Report'!CZ:CZ)</f>
        <v>0</v>
      </c>
      <c r="CL36" s="10" t="str">
        <f>_xlfn.XLOOKUP(A36,'United_Smoothed Price Concessio'!A:A,'United_Smoothed Price Concessio'!G:G)</f>
        <v>$0.00</v>
      </c>
      <c r="CM36" s="10">
        <f t="shared" si="29"/>
        <v>0</v>
      </c>
      <c r="CN36" s="13">
        <f>_xlfn.XLOOKUP(A36,'Icyte Report'!A:A,'Icyte Report'!DA:DA)</f>
        <v>0</v>
      </c>
      <c r="CO36" s="13" t="str">
        <f>_xlfn.XLOOKUP(A36,'United_Smoothed Price Concessio'!A:A,'United_Smoothed Price Concessio'!I:I)</f>
        <v>0.000000%</v>
      </c>
      <c r="CP36" s="10">
        <f t="shared" si="30"/>
        <v>0</v>
      </c>
      <c r="CQ36" s="10">
        <f>_xlfn.XLOOKUP(A36,'Icyte Report'!A:A,'Icyte Report'!DB:DB)</f>
        <v>0</v>
      </c>
      <c r="CR36" s="10" t="str">
        <f>_xlfn.XLOOKUP(A36,'United MAMP All Components'!A:A,'United MAMP All Components'!AX:AX)</f>
        <v>0.00</v>
      </c>
      <c r="CS36" s="10">
        <f t="shared" si="31"/>
        <v>0</v>
      </c>
      <c r="CT36" s="10">
        <f>_xlfn.XLOOKUP(A36,'Icyte Report'!A:A,'Icyte Report'!DC:DC)</f>
        <v>0</v>
      </c>
      <c r="CU36" s="10" t="str">
        <f>_xlfn.XLOOKUP(A36,'United MAMP All Components'!A:A,'United MAMP All Components'!BA:BA)</f>
        <v>0.00</v>
      </c>
      <c r="CV36" s="10">
        <f t="shared" si="32"/>
        <v>0</v>
      </c>
      <c r="CW36" s="10">
        <f>_xlfn.XLOOKUP(A36,'Icyte Report'!A:A,'Icyte Report'!DD:DD)</f>
        <v>0</v>
      </c>
      <c r="CX36" s="10" t="str">
        <f>_xlfn.XLOOKUP(A36,'United MAMP All Components'!A:A,'United MAMP All Components'!BD:BD)</f>
        <v>0.00</v>
      </c>
      <c r="CY36" s="10">
        <f t="shared" si="33"/>
        <v>0</v>
      </c>
      <c r="CZ36" s="10">
        <f>_xlfn.XLOOKUP(A36,'Icyte Report'!A:A,'Icyte Report'!DE:DE)</f>
        <v>0</v>
      </c>
      <c r="DA36" s="10" t="str">
        <f>_xlfn.XLOOKUP(A36,'United MAMP All Components'!A:A,'United MAMP All Components'!BE:BE)</f>
        <v>0.00</v>
      </c>
      <c r="DB36" s="10">
        <f t="shared" si="34"/>
        <v>0</v>
      </c>
      <c r="DC36" s="10">
        <f>_xlfn.XLOOKUP(A36,'Icyte Report'!A:A,'Icyte Report'!DI:DI)</f>
        <v>3791.63</v>
      </c>
      <c r="DD36" s="10" t="str">
        <f>_xlfn.XLOOKUP(A36,'United MAMP All Components'!A:A,'United MAMP All Components'!BG:BG)</f>
        <v>3,791.630000</v>
      </c>
      <c r="DE36" s="10">
        <f t="shared" si="35"/>
        <v>0</v>
      </c>
    </row>
    <row r="37" spans="1:109" x14ac:dyDescent="0.35">
      <c r="A37" s="10" t="s">
        <v>194</v>
      </c>
      <c r="B37" s="10" t="s">
        <v>448</v>
      </c>
      <c r="C37" s="10">
        <f>_xlfn.XLOOKUP(A37,'Icyte Report'!A:A,'Icyte Report'!W:W)</f>
        <v>122498.8</v>
      </c>
      <c r="D37" s="10" t="str">
        <f>_xlfn.XLOOKUP(A37,'United MAMP All Components'!A:A,'United MAMP All Components'!B:B)</f>
        <v>0.00</v>
      </c>
      <c r="E37" s="10">
        <f t="shared" si="0"/>
        <v>122498.8</v>
      </c>
      <c r="F37" s="10">
        <f>_xlfn.XLOOKUP(A37,'Icyte Report'!A:A,'Icyte Report'!X:X)</f>
        <v>20</v>
      </c>
      <c r="G37" s="10" t="str">
        <f>_xlfn.XLOOKUP(A37,'United MAMP All Components'!A:A,'United MAMP All Components'!C:C)</f>
        <v>0.00</v>
      </c>
      <c r="H37" s="10">
        <f t="shared" si="1"/>
        <v>20</v>
      </c>
      <c r="I37" s="10">
        <f>_xlfn.XLOOKUP(A37,'Icyte Report'!A:A,'Icyte Report'!Y:Y)</f>
        <v>0</v>
      </c>
      <c r="J37" s="10" t="str">
        <f>_xlfn.XLOOKUP(A37,'United MAMP All Components'!A:A,'United MAMP All Components'!E:E)</f>
        <v>0.00</v>
      </c>
      <c r="K37" s="10">
        <f t="shared" si="2"/>
        <v>0</v>
      </c>
      <c r="L37" s="10">
        <f>_xlfn.XLOOKUP(A37,'Icyte Report'!A:A,'Icyte Report'!Z:Z)</f>
        <v>0</v>
      </c>
      <c r="M37" s="10" t="str">
        <f>_xlfn.XLOOKUP(A37,'United MAMP All Components'!A:A,'United MAMP All Components'!F:F)</f>
        <v>0.00</v>
      </c>
      <c r="N37" s="10">
        <f t="shared" si="3"/>
        <v>0</v>
      </c>
      <c r="O37" s="10">
        <f>_xlfn.XLOOKUP(A37,'Icyte Report'!A:A,'Icyte Report'!AA:AA)</f>
        <v>122498.8</v>
      </c>
      <c r="P37" s="10" t="str">
        <f>_xlfn.XLOOKUP(A37,'United MAMP All Components'!A:A,'United MAMP All Components'!H:H)</f>
        <v>0.00</v>
      </c>
      <c r="Q37" s="10">
        <f t="shared" si="4"/>
        <v>122498.8</v>
      </c>
      <c r="R37" s="10">
        <f>_xlfn.XLOOKUP(A37,'Icyte Report'!A:A,'Icyte Report'!AB:AB)</f>
        <v>20</v>
      </c>
      <c r="S37" s="10" t="str">
        <f>_xlfn.XLOOKUP(A37,'United MAMP All Components'!A:A,'United MAMP All Components'!I:I)</f>
        <v>0.00</v>
      </c>
      <c r="T37" s="10">
        <f t="shared" si="5"/>
        <v>20</v>
      </c>
      <c r="U37" s="10">
        <f>_xlfn.XLOOKUP(A37,'Icyte Report'!A:A,'Icyte Report'!AC:AC)</f>
        <v>0</v>
      </c>
      <c r="V37" s="10" t="str">
        <f>_xlfn.XLOOKUP(A37,'United MAMP All Components'!A:A,'United MAMP All Components'!K:K)</f>
        <v>0.00</v>
      </c>
      <c r="W37" s="10">
        <f t="shared" si="6"/>
        <v>0</v>
      </c>
      <c r="X37" s="10">
        <f>_xlfn.XLOOKUP(A37,'Icyte Report'!A:A,'Icyte Report'!AD:AD)</f>
        <v>0</v>
      </c>
      <c r="Y37" s="10" t="str">
        <f>_xlfn.XLOOKUP(A37,'United MAMP All Components'!A:A,'United MAMP All Components'!L:L)</f>
        <v>0.00</v>
      </c>
      <c r="Z37" s="10">
        <f t="shared" si="7"/>
        <v>0</v>
      </c>
      <c r="AA37" s="10">
        <f>_xlfn.XLOOKUP(A37,'Icyte Report'!A:A,'Icyte Report'!AE:AE)</f>
        <v>0</v>
      </c>
      <c r="AB37" s="10" t="str">
        <f>_xlfn.XLOOKUP(A37,'United MAMP All Components'!A:A,'United MAMP All Components'!N:N)</f>
        <v>0.00</v>
      </c>
      <c r="AC37" s="10">
        <f t="shared" si="8"/>
        <v>0</v>
      </c>
      <c r="AD37" s="10">
        <f>_xlfn.XLOOKUP(A37,'Icyte Report'!A:A,'Icyte Report'!AF:AF)</f>
        <v>0</v>
      </c>
      <c r="AE37" s="10" t="str">
        <f>_xlfn.XLOOKUP(A37,'United MAMP All Components'!A:A,'United MAMP All Components'!O:O)</f>
        <v>0.00</v>
      </c>
      <c r="AF37" s="10">
        <f t="shared" si="9"/>
        <v>0</v>
      </c>
      <c r="AG37" s="10">
        <f>_xlfn.XLOOKUP(A37,'Icyte Report'!A:A,'Icyte Report'!AG:AG)</f>
        <v>0</v>
      </c>
      <c r="AH37" s="10" t="str">
        <f>_xlfn.XLOOKUP(A37,'United MAMP All Components'!A:A,'United MAMP All Components'!Q:Q)</f>
        <v>0.00</v>
      </c>
      <c r="AI37" s="10">
        <f t="shared" si="10"/>
        <v>0</v>
      </c>
      <c r="AJ37" s="10">
        <f>_xlfn.XLOOKUP(A37,'Icyte Report'!A:A,'Icyte Report'!AH:AH)</f>
        <v>0</v>
      </c>
      <c r="AK37" s="10" t="str">
        <f>_xlfn.XLOOKUP(A37,'United MAMP All Components'!A:A,'United MAMP All Components'!R:R)</f>
        <v>0.00</v>
      </c>
      <c r="AL37" s="10">
        <f t="shared" si="11"/>
        <v>0</v>
      </c>
      <c r="AM37" s="10">
        <f>_xlfn.XLOOKUP(A37,'Icyte Report'!A:A,'Icyte Report'!AS:AS)</f>
        <v>0</v>
      </c>
      <c r="AN37" s="10" t="str">
        <f>_xlfn.XLOOKUP(A37,'United MAMP All Components'!A:A,'United MAMP All Components'!T:T)</f>
        <v>0.00</v>
      </c>
      <c r="AO37" s="10">
        <f t="shared" si="12"/>
        <v>0</v>
      </c>
      <c r="AP37" s="10">
        <f>_xlfn.XLOOKUP(A37,'Icyte Report'!A:A,'Icyte Report'!AT:AT)</f>
        <v>0</v>
      </c>
      <c r="AQ37" s="10" t="str">
        <f>_xlfn.XLOOKUP(A37,'United MAMP All Components'!A:A,'United MAMP All Components'!U:U)</f>
        <v>0.00</v>
      </c>
      <c r="AR37" s="10">
        <f t="shared" si="13"/>
        <v>0</v>
      </c>
      <c r="AS37" s="10">
        <f>_xlfn.XLOOKUP(A37,'Icyte Report'!A:A,'Icyte Report'!AU:AU)</f>
        <v>0</v>
      </c>
      <c r="AT37" s="10" t="str">
        <f>_xlfn.XLOOKUP(A37,'United MAMP All Components'!A:A,'United MAMP All Components'!AO:AO)</f>
        <v>0.00</v>
      </c>
      <c r="AU37" s="10">
        <f t="shared" si="14"/>
        <v>0</v>
      </c>
      <c r="AV37" s="10">
        <f>_xlfn.XLOOKUP(A37,'Icyte Report'!A:A,'Icyte Report'!AV:AV)</f>
        <v>0</v>
      </c>
      <c r="AW37" s="10" t="str">
        <f>_xlfn.XLOOKUP(A37,'United MAMP All Components'!A:A,'United MAMP All Components'!AP:AP)</f>
        <v>0.00</v>
      </c>
      <c r="AX37" s="10">
        <f t="shared" si="15"/>
        <v>0</v>
      </c>
      <c r="AY37" s="10">
        <f>_xlfn.XLOOKUP(A37,'Icyte Report'!A:A,'Icyte Report'!BH:BH)</f>
        <v>0</v>
      </c>
      <c r="AZ37" s="10" t="e">
        <f>_xlfn.XLOOKUP(A37,'United Smoothed Indirect Inelig'!A:A,'United Smoothed Indirect Inelig'!D:D)</f>
        <v>#N/A</v>
      </c>
      <c r="BA37" s="10" t="e">
        <f t="shared" si="16"/>
        <v>#N/A</v>
      </c>
      <c r="BB37" s="10">
        <f>_xlfn.XLOOKUP(A37,'Icyte Report'!A:A,'Icyte Report'!BK:BK)</f>
        <v>2</v>
      </c>
      <c r="BC37" s="10" t="e">
        <f t="shared" si="17"/>
        <v>#N/A</v>
      </c>
      <c r="BD37" s="10">
        <f>_xlfn.XLOOKUP(A37,'Icyte Report'!A:A,'Icyte Report'!BN:BN)</f>
        <v>0</v>
      </c>
      <c r="BE37" s="10" t="e">
        <f>_xlfn.XLOOKUP(A37,'United Smoothed Indirect Inelig'!A:A,'United Smoothed Indirect Inelig'!C:C)</f>
        <v>#N/A</v>
      </c>
      <c r="BF37" s="10" t="e">
        <f t="shared" si="18"/>
        <v>#N/A</v>
      </c>
      <c r="BG37" s="10">
        <f>_xlfn.XLOOKUP(A37,'Icyte Report'!A:A,'Icyte Report'!BR:BR)</f>
        <v>0</v>
      </c>
      <c r="BH37" s="10" t="e">
        <f>_xlfn.XLOOKUP(A37,'United Smoothed Indirect Inelig'!A:A,'United Smoothed Indirect Inelig'!B:B)</f>
        <v>#N/A</v>
      </c>
      <c r="BI37" s="10" t="e">
        <f t="shared" si="19"/>
        <v>#N/A</v>
      </c>
      <c r="BJ37" s="10">
        <f>_xlfn.XLOOKUP(A37,'Icyte Report'!A:A,'Icyte Report'!BV:BV)</f>
        <v>0</v>
      </c>
      <c r="BK37" s="10" t="e">
        <f>_xlfn.XLOOKUP(A37,'United Smoothed Indirect Inelig'!A:A,'United Smoothed Indirect Inelig'!P:P)</f>
        <v>#N/A</v>
      </c>
      <c r="BL37" s="10" t="e">
        <f t="shared" si="20"/>
        <v>#N/A</v>
      </c>
      <c r="BM37" s="13">
        <f>_xlfn.XLOOKUP(A37,'Icyte Report'!A:A,'Icyte Report'!BW:BW)</f>
        <v>0</v>
      </c>
      <c r="BN37" s="13" t="e">
        <f>_xlfn.XLOOKUP(A37,'United Smoothed Indirect Inelig'!A:A,'United Smoothed Indirect Inelig'!G:G)+_xlfn.XLOOKUP(A37,'United Smoothed Indirect Inelig'!A:A,'United Smoothed Indirect Inelig'!H:H) + _xlfn.XLOOKUP(A37,'United Smoothed Indirect Inelig'!A:A,'United Smoothed Indirect Inelig'!I:I)+_xlfn.XLOOKUP(A37,'United Smoothed Indirect Inelig'!A:A,'United Smoothed Indirect Inelig'!J:J)</f>
        <v>#N/A</v>
      </c>
      <c r="BO37" s="18" t="e">
        <f t="shared" si="21"/>
        <v>#N/A</v>
      </c>
      <c r="BP37" s="10">
        <f>_xlfn.XLOOKUP(A37,'Icyte Report'!A:A,'Icyte Report'!BY:BY)</f>
        <v>0</v>
      </c>
      <c r="BQ37" s="10" t="e">
        <f>_xlfn.XLOOKUP(A37,'United Smoothed Indirect Inelig'!A:A,'United Smoothed Indirect Inelig'!L:L)+_xlfn.XLOOKUP(A37,'United Smoothed Indirect Inelig'!A:A,'United Smoothed Indirect Inelig'!M:M) + _xlfn.XLOOKUP(A37,'United Smoothed Indirect Inelig'!A:A,'United Smoothed Indirect Inelig'!N:N)+_xlfn.XLOOKUP(A37,'United Smoothed Indirect Inelig'!A:A,'United Smoothed Indirect Inelig'!O:O)</f>
        <v>#N/A</v>
      </c>
      <c r="BR37" s="10" t="e">
        <f t="shared" si="22"/>
        <v>#N/A</v>
      </c>
      <c r="BS37" s="10">
        <f>_xlfn.XLOOKUP(A37,'Icyte Report'!A:A,'Icyte Report'!BZ:BZ)</f>
        <v>0</v>
      </c>
      <c r="BT37" s="10" t="str">
        <f>_xlfn.XLOOKUP(A37,'United MAMP All Components'!A:A,'United MAMP All Components'!AL:AL)</f>
        <v>0.00</v>
      </c>
      <c r="BU37" s="10">
        <f t="shared" si="23"/>
        <v>0</v>
      </c>
      <c r="BV37" s="26">
        <f>_xlfn.XLOOKUP(A37,'Icyte Report'!A:A,'Icyte Report'!CA:CA)</f>
        <v>0</v>
      </c>
      <c r="BW37" s="22" t="str">
        <f>_xlfn.XLOOKUP(A37,'United MAMP All Components'!A:A,'United MAMP All Components'!AM:AM)</f>
        <v>0.00</v>
      </c>
      <c r="BX37" s="10">
        <f t="shared" si="24"/>
        <v>0</v>
      </c>
      <c r="BY37" s="10">
        <f>_xlfn.XLOOKUP(A37,'Icyte Report'!A:A,'Icyte Report'!CD:CD)</f>
        <v>0</v>
      </c>
      <c r="BZ37" s="10" t="str">
        <f>_xlfn.XLOOKUP(A37,'United_Smoothed Price Concessio'!A:A,'United_Smoothed Price Concessio'!D:D)</f>
        <v>$0.00</v>
      </c>
      <c r="CA37" s="10">
        <f t="shared" si="25"/>
        <v>0</v>
      </c>
      <c r="CB37" s="10">
        <f>_xlfn.XLOOKUP(A37,'Icyte Report'!A:A,'Icyte Report'!CF:CF)</f>
        <v>0</v>
      </c>
      <c r="CC37" s="10" t="e">
        <f>_xlfn.XLOOKUP(A37,'United Smoothed Indirect Inelig'!A:A,'United Smoothed Indirect Inelig'!F:F)</f>
        <v>#N/A</v>
      </c>
      <c r="CD37" s="10" t="e">
        <f t="shared" si="26"/>
        <v>#N/A</v>
      </c>
      <c r="CE37" s="10">
        <f>_xlfn.XLOOKUP(A37,'Icyte Report'!A:A,'Icyte Report'!CL:CL)</f>
        <v>-12010.68163934426</v>
      </c>
      <c r="CF37" s="10" t="str">
        <f>_xlfn.XLOOKUP(A37,'United_Smoothed Price Concessio'!A:A,'United_Smoothed Price Concessio'!H:H)</f>
        <v>$0.00</v>
      </c>
      <c r="CG37" s="10">
        <f t="shared" si="27"/>
        <v>-12010.68163934426</v>
      </c>
      <c r="CH37" s="10">
        <f>_xlfn.XLOOKUP(A37,'Icyte Report'!A:A,'Icyte Report'!CY:CY)</f>
        <v>0</v>
      </c>
      <c r="CI37" s="10" t="str">
        <f>_xlfn.XLOOKUP(A37,'United_Smoothed Price Concessio'!A:A,'United_Smoothed Price Concessio'!C:C)</f>
        <v>$0.00</v>
      </c>
      <c r="CJ37" s="10">
        <f t="shared" si="28"/>
        <v>0</v>
      </c>
      <c r="CK37" s="10">
        <f>_xlfn.XLOOKUP(A37,'Icyte Report'!A:A,'Icyte Report'!CZ:CZ)</f>
        <v>0</v>
      </c>
      <c r="CL37" s="10" t="str">
        <f>_xlfn.XLOOKUP(A37,'United_Smoothed Price Concessio'!A:A,'United_Smoothed Price Concessio'!G:G)</f>
        <v>$0.00</v>
      </c>
      <c r="CM37" s="10">
        <f t="shared" si="29"/>
        <v>0</v>
      </c>
      <c r="CN37" s="13">
        <f>_xlfn.XLOOKUP(A37,'Icyte Report'!A:A,'Icyte Report'!DA:DA)</f>
        <v>0</v>
      </c>
      <c r="CO37" s="13" t="str">
        <f>_xlfn.XLOOKUP(A37,'United_Smoothed Price Concessio'!A:A,'United_Smoothed Price Concessio'!I:I)</f>
        <v>0.000000%</v>
      </c>
      <c r="CP37" s="10">
        <f t="shared" si="30"/>
        <v>0</v>
      </c>
      <c r="CQ37" s="10">
        <f>_xlfn.XLOOKUP(A37,'Icyte Report'!A:A,'Icyte Report'!DB:DB)</f>
        <v>0</v>
      </c>
      <c r="CR37" s="10" t="str">
        <f>_xlfn.XLOOKUP(A37,'United MAMP All Components'!A:A,'United MAMP All Components'!AX:AX)</f>
        <v>0.00</v>
      </c>
      <c r="CS37" s="10">
        <f t="shared" si="31"/>
        <v>0</v>
      </c>
      <c r="CT37" s="10">
        <f>_xlfn.XLOOKUP(A37,'Icyte Report'!A:A,'Icyte Report'!DC:DC)</f>
        <v>0</v>
      </c>
      <c r="CU37" s="10" t="str">
        <f>_xlfn.XLOOKUP(A37,'United MAMP All Components'!A:A,'United MAMP All Components'!BA:BA)</f>
        <v>0.00</v>
      </c>
      <c r="CV37" s="10">
        <f t="shared" si="32"/>
        <v>0</v>
      </c>
      <c r="CW37" s="10">
        <f>_xlfn.XLOOKUP(A37,'Icyte Report'!A:A,'Icyte Report'!DD:DD)</f>
        <v>0</v>
      </c>
      <c r="CX37" s="10" t="str">
        <f>_xlfn.XLOOKUP(A37,'United MAMP All Components'!A:A,'United MAMP All Components'!BD:BD)</f>
        <v>0.00</v>
      </c>
      <c r="CY37" s="10">
        <f t="shared" si="33"/>
        <v>0</v>
      </c>
      <c r="CZ37" s="10">
        <f>_xlfn.XLOOKUP(A37,'Icyte Report'!A:A,'Icyte Report'!DE:DE)</f>
        <v>0</v>
      </c>
      <c r="DA37" s="10" t="str">
        <f>_xlfn.XLOOKUP(A37,'United MAMP All Components'!A:A,'United MAMP All Components'!BE:BE)</f>
        <v>0.00</v>
      </c>
      <c r="DB37" s="10">
        <f t="shared" si="34"/>
        <v>0</v>
      </c>
      <c r="DC37" s="10">
        <f>_xlfn.XLOOKUP(A37,'Icyte Report'!A:A,'Icyte Report'!DI:DI)</f>
        <v>6124.94</v>
      </c>
      <c r="DD37" s="10" t="str">
        <f>_xlfn.XLOOKUP(A37,'United MAMP All Components'!A:A,'United MAMP All Components'!BG:BG)</f>
        <v>6,124.940000</v>
      </c>
      <c r="DE37" s="10">
        <f t="shared" si="35"/>
        <v>0</v>
      </c>
    </row>
    <row r="38" spans="1:109" x14ac:dyDescent="0.35">
      <c r="A38" s="10" t="s">
        <v>177</v>
      </c>
      <c r="B38" s="10" t="s">
        <v>449</v>
      </c>
      <c r="C38" s="10">
        <f>_xlfn.XLOOKUP(A38,'Icyte Report'!A:A,'Icyte Report'!W:W)</f>
        <v>0</v>
      </c>
      <c r="D38" s="10" t="str">
        <f>_xlfn.XLOOKUP(A38,'United MAMP All Components'!A:A,'United MAMP All Components'!B:B)</f>
        <v>0.00</v>
      </c>
      <c r="E38" s="10">
        <f t="shared" si="0"/>
        <v>0</v>
      </c>
      <c r="F38" s="10">
        <f>_xlfn.XLOOKUP(A38,'Icyte Report'!A:A,'Icyte Report'!X:X)</f>
        <v>0</v>
      </c>
      <c r="G38" s="10" t="str">
        <f>_xlfn.XLOOKUP(A38,'United MAMP All Components'!A:A,'United MAMP All Components'!C:C)</f>
        <v>0.00</v>
      </c>
      <c r="H38" s="10">
        <f t="shared" si="1"/>
        <v>0</v>
      </c>
      <c r="I38" s="10">
        <f>_xlfn.XLOOKUP(A38,'Icyte Report'!A:A,'Icyte Report'!Y:Y)</f>
        <v>0</v>
      </c>
      <c r="J38" s="10" t="str">
        <f>_xlfn.XLOOKUP(A38,'United MAMP All Components'!A:A,'United MAMP All Components'!E:E)</f>
        <v>0.00</v>
      </c>
      <c r="K38" s="10">
        <f t="shared" si="2"/>
        <v>0</v>
      </c>
      <c r="L38" s="10">
        <f>_xlfn.XLOOKUP(A38,'Icyte Report'!A:A,'Icyte Report'!Z:Z)</f>
        <v>0</v>
      </c>
      <c r="M38" s="10" t="str">
        <f>_xlfn.XLOOKUP(A38,'United MAMP All Components'!A:A,'United MAMP All Components'!F:F)</f>
        <v>0.00</v>
      </c>
      <c r="N38" s="10">
        <f t="shared" si="3"/>
        <v>0</v>
      </c>
      <c r="O38" s="10">
        <f>_xlfn.XLOOKUP(A38,'Icyte Report'!A:A,'Icyte Report'!AA:AA)</f>
        <v>0</v>
      </c>
      <c r="P38" s="10" t="str">
        <f>_xlfn.XLOOKUP(A38,'United MAMP All Components'!A:A,'United MAMP All Components'!H:H)</f>
        <v>0.00</v>
      </c>
      <c r="Q38" s="10">
        <f t="shared" si="4"/>
        <v>0</v>
      </c>
      <c r="R38" s="10">
        <f>_xlfn.XLOOKUP(A38,'Icyte Report'!A:A,'Icyte Report'!AB:AB)</f>
        <v>0</v>
      </c>
      <c r="S38" s="10" t="str">
        <f>_xlfn.XLOOKUP(A38,'United MAMP All Components'!A:A,'United MAMP All Components'!I:I)</f>
        <v>0.00</v>
      </c>
      <c r="T38" s="10">
        <f t="shared" si="5"/>
        <v>0</v>
      </c>
      <c r="U38" s="10">
        <f>_xlfn.XLOOKUP(A38,'Icyte Report'!A:A,'Icyte Report'!AC:AC)</f>
        <v>0</v>
      </c>
      <c r="V38" s="10" t="str">
        <f>_xlfn.XLOOKUP(A38,'United MAMP All Components'!A:A,'United MAMP All Components'!K:K)</f>
        <v>0.00</v>
      </c>
      <c r="W38" s="10">
        <f t="shared" si="6"/>
        <v>0</v>
      </c>
      <c r="X38" s="10">
        <f>_xlfn.XLOOKUP(A38,'Icyte Report'!A:A,'Icyte Report'!AD:AD)</f>
        <v>0</v>
      </c>
      <c r="Y38" s="10" t="str">
        <f>_xlfn.XLOOKUP(A38,'United MAMP All Components'!A:A,'United MAMP All Components'!L:L)</f>
        <v>0.00</v>
      </c>
      <c r="Z38" s="10">
        <f t="shared" si="7"/>
        <v>0</v>
      </c>
      <c r="AA38" s="10">
        <f>_xlfn.XLOOKUP(A38,'Icyte Report'!A:A,'Icyte Report'!AE:AE)</f>
        <v>0</v>
      </c>
      <c r="AB38" s="10" t="str">
        <f>_xlfn.XLOOKUP(A38,'United MAMP All Components'!A:A,'United MAMP All Components'!N:N)</f>
        <v>0.00</v>
      </c>
      <c r="AC38" s="10">
        <f t="shared" si="8"/>
        <v>0</v>
      </c>
      <c r="AD38" s="10">
        <f>_xlfn.XLOOKUP(A38,'Icyte Report'!A:A,'Icyte Report'!AF:AF)</f>
        <v>0</v>
      </c>
      <c r="AE38" s="10" t="str">
        <f>_xlfn.XLOOKUP(A38,'United MAMP All Components'!A:A,'United MAMP All Components'!O:O)</f>
        <v>0.00</v>
      </c>
      <c r="AF38" s="10">
        <f t="shared" si="9"/>
        <v>0</v>
      </c>
      <c r="AG38" s="10">
        <f>_xlfn.XLOOKUP(A38,'Icyte Report'!A:A,'Icyte Report'!AG:AG)</f>
        <v>0</v>
      </c>
      <c r="AH38" s="10" t="str">
        <f>_xlfn.XLOOKUP(A38,'United MAMP All Components'!A:A,'United MAMP All Components'!Q:Q)</f>
        <v>0.00</v>
      </c>
      <c r="AI38" s="10">
        <f t="shared" si="10"/>
        <v>0</v>
      </c>
      <c r="AJ38" s="10">
        <f>_xlfn.XLOOKUP(A38,'Icyte Report'!A:A,'Icyte Report'!AH:AH)</f>
        <v>0</v>
      </c>
      <c r="AK38" s="10" t="str">
        <f>_xlfn.XLOOKUP(A38,'United MAMP All Components'!A:A,'United MAMP All Components'!R:R)</f>
        <v>0.00</v>
      </c>
      <c r="AL38" s="10">
        <f t="shared" si="11"/>
        <v>0</v>
      </c>
      <c r="AM38" s="10">
        <f>_xlfn.XLOOKUP(A38,'Icyte Report'!A:A,'Icyte Report'!AS:AS)</f>
        <v>0</v>
      </c>
      <c r="AN38" s="10" t="str">
        <f>_xlfn.XLOOKUP(A38,'United MAMP All Components'!A:A,'United MAMP All Components'!T:T)</f>
        <v>0.00</v>
      </c>
      <c r="AO38" s="10">
        <f t="shared" si="12"/>
        <v>0</v>
      </c>
      <c r="AP38" s="10">
        <f>_xlfn.XLOOKUP(A38,'Icyte Report'!A:A,'Icyte Report'!AT:AT)</f>
        <v>0</v>
      </c>
      <c r="AQ38" s="10" t="str">
        <f>_xlfn.XLOOKUP(A38,'United MAMP All Components'!A:A,'United MAMP All Components'!U:U)</f>
        <v>0.00</v>
      </c>
      <c r="AR38" s="10">
        <f t="shared" si="13"/>
        <v>0</v>
      </c>
      <c r="AS38" s="10">
        <f>_xlfn.XLOOKUP(A38,'Icyte Report'!A:A,'Icyte Report'!AU:AU)</f>
        <v>0</v>
      </c>
      <c r="AT38" s="10" t="str">
        <f>_xlfn.XLOOKUP(A38,'United MAMP All Components'!A:A,'United MAMP All Components'!AO:AO)</f>
        <v>0.00</v>
      </c>
      <c r="AU38" s="10">
        <f t="shared" si="14"/>
        <v>0</v>
      </c>
      <c r="AV38" s="10">
        <f>_xlfn.XLOOKUP(A38,'Icyte Report'!A:A,'Icyte Report'!AV:AV)</f>
        <v>0</v>
      </c>
      <c r="AW38" s="10" t="str">
        <f>_xlfn.XLOOKUP(A38,'United MAMP All Components'!A:A,'United MAMP All Components'!AP:AP)</f>
        <v>0.00</v>
      </c>
      <c r="AX38" s="10">
        <f t="shared" si="15"/>
        <v>0</v>
      </c>
      <c r="AY38" s="10">
        <f>_xlfn.XLOOKUP(A38,'Icyte Report'!A:A,'Icyte Report'!BH:BH)</f>
        <v>0</v>
      </c>
      <c r="AZ38" s="10" t="e">
        <f>_xlfn.XLOOKUP(A38,'United Smoothed Indirect Inelig'!A:A,'United Smoothed Indirect Inelig'!D:D)</f>
        <v>#N/A</v>
      </c>
      <c r="BA38" s="10" t="e">
        <f t="shared" si="16"/>
        <v>#N/A</v>
      </c>
      <c r="BB38" s="10">
        <f>_xlfn.XLOOKUP(A38,'Icyte Report'!A:A,'Icyte Report'!BK:BK)</f>
        <v>0</v>
      </c>
      <c r="BC38" s="10" t="e">
        <f t="shared" si="17"/>
        <v>#N/A</v>
      </c>
      <c r="BD38" s="10">
        <f>_xlfn.XLOOKUP(A38,'Icyte Report'!A:A,'Icyte Report'!BN:BN)</f>
        <v>0</v>
      </c>
      <c r="BE38" s="10" t="e">
        <f>_xlfn.XLOOKUP(A38,'United Smoothed Indirect Inelig'!A:A,'United Smoothed Indirect Inelig'!C:C)</f>
        <v>#N/A</v>
      </c>
      <c r="BF38" s="10" t="e">
        <f t="shared" si="18"/>
        <v>#N/A</v>
      </c>
      <c r="BG38" s="10">
        <f>_xlfn.XLOOKUP(A38,'Icyte Report'!A:A,'Icyte Report'!BR:BR)</f>
        <v>0</v>
      </c>
      <c r="BH38" s="10" t="e">
        <f>_xlfn.XLOOKUP(A38,'United Smoothed Indirect Inelig'!A:A,'United Smoothed Indirect Inelig'!B:B)</f>
        <v>#N/A</v>
      </c>
      <c r="BI38" s="10" t="e">
        <f t="shared" si="19"/>
        <v>#N/A</v>
      </c>
      <c r="BJ38" s="10">
        <f>_xlfn.XLOOKUP(A38,'Icyte Report'!A:A,'Icyte Report'!BV:BV)</f>
        <v>0</v>
      </c>
      <c r="BK38" s="10" t="e">
        <f>_xlfn.XLOOKUP(A38,'United Smoothed Indirect Inelig'!A:A,'United Smoothed Indirect Inelig'!P:P)</f>
        <v>#N/A</v>
      </c>
      <c r="BL38" s="10" t="e">
        <f t="shared" si="20"/>
        <v>#N/A</v>
      </c>
      <c r="BM38" s="13">
        <f>_xlfn.XLOOKUP(A38,'Icyte Report'!A:A,'Icyte Report'!BW:BW)</f>
        <v>0</v>
      </c>
      <c r="BN38" s="13" t="e">
        <f>_xlfn.XLOOKUP(A38,'United Smoothed Indirect Inelig'!A:A,'United Smoothed Indirect Inelig'!G:G)+_xlfn.XLOOKUP(A38,'United Smoothed Indirect Inelig'!A:A,'United Smoothed Indirect Inelig'!H:H) + _xlfn.XLOOKUP(A38,'United Smoothed Indirect Inelig'!A:A,'United Smoothed Indirect Inelig'!I:I)+_xlfn.XLOOKUP(A38,'United Smoothed Indirect Inelig'!A:A,'United Smoothed Indirect Inelig'!J:J)</f>
        <v>#N/A</v>
      </c>
      <c r="BO38" s="18" t="e">
        <f t="shared" si="21"/>
        <v>#N/A</v>
      </c>
      <c r="BP38" s="10">
        <f>_xlfn.XLOOKUP(A38,'Icyte Report'!A:A,'Icyte Report'!BY:BY)</f>
        <v>0</v>
      </c>
      <c r="BQ38" s="10" t="e">
        <f>_xlfn.XLOOKUP(A38,'United Smoothed Indirect Inelig'!A:A,'United Smoothed Indirect Inelig'!L:L)+_xlfn.XLOOKUP(A38,'United Smoothed Indirect Inelig'!A:A,'United Smoothed Indirect Inelig'!M:M) + _xlfn.XLOOKUP(A38,'United Smoothed Indirect Inelig'!A:A,'United Smoothed Indirect Inelig'!N:N)+_xlfn.XLOOKUP(A38,'United Smoothed Indirect Inelig'!A:A,'United Smoothed Indirect Inelig'!O:O)</f>
        <v>#N/A</v>
      </c>
      <c r="BR38" s="10" t="e">
        <f t="shared" si="22"/>
        <v>#N/A</v>
      </c>
      <c r="BS38" s="10">
        <f>_xlfn.XLOOKUP(A38,'Icyte Report'!A:A,'Icyte Report'!BZ:BZ)</f>
        <v>0</v>
      </c>
      <c r="BT38" s="10" t="str">
        <f>_xlfn.XLOOKUP(A38,'United MAMP All Components'!A:A,'United MAMP All Components'!AL:AL)</f>
        <v>0.00</v>
      </c>
      <c r="BU38" s="10">
        <f t="shared" si="23"/>
        <v>0</v>
      </c>
      <c r="BV38" s="26">
        <f>_xlfn.XLOOKUP(A38,'Icyte Report'!A:A,'Icyte Report'!CA:CA)</f>
        <v>0</v>
      </c>
      <c r="BW38" s="22" t="str">
        <f>_xlfn.XLOOKUP(A38,'United MAMP All Components'!A:A,'United MAMP All Components'!AM:AM)</f>
        <v>0.00</v>
      </c>
      <c r="BX38" s="10">
        <f t="shared" si="24"/>
        <v>0</v>
      </c>
      <c r="BY38" s="10">
        <f>_xlfn.XLOOKUP(A38,'Icyte Report'!A:A,'Icyte Report'!CD:CD)</f>
        <v>0</v>
      </c>
      <c r="BZ38" s="10" t="str">
        <f>_xlfn.XLOOKUP(A38,'United_Smoothed Price Concessio'!A:A,'United_Smoothed Price Concessio'!D:D)</f>
        <v>$0.00</v>
      </c>
      <c r="CA38" s="10">
        <f t="shared" si="25"/>
        <v>0</v>
      </c>
      <c r="CB38" s="10">
        <f>_xlfn.XLOOKUP(A38,'Icyte Report'!A:A,'Icyte Report'!CF:CF)</f>
        <v>0</v>
      </c>
      <c r="CC38" s="10" t="e">
        <f>_xlfn.XLOOKUP(A38,'United Smoothed Indirect Inelig'!A:A,'United Smoothed Indirect Inelig'!F:F)</f>
        <v>#N/A</v>
      </c>
      <c r="CD38" s="10" t="e">
        <f t="shared" si="26"/>
        <v>#N/A</v>
      </c>
      <c r="CE38" s="10">
        <f>_xlfn.XLOOKUP(A38,'Icyte Report'!A:A,'Icyte Report'!CL:CL)</f>
        <v>0</v>
      </c>
      <c r="CF38" s="10" t="str">
        <f>_xlfn.XLOOKUP(A38,'United_Smoothed Price Concessio'!A:A,'United_Smoothed Price Concessio'!H:H)</f>
        <v>$0.00</v>
      </c>
      <c r="CG38" s="10">
        <f t="shared" si="27"/>
        <v>0</v>
      </c>
      <c r="CH38" s="10">
        <f>_xlfn.XLOOKUP(A38,'Icyte Report'!A:A,'Icyte Report'!CY:CY)</f>
        <v>0</v>
      </c>
      <c r="CI38" s="10" t="str">
        <f>_xlfn.XLOOKUP(A38,'United_Smoothed Price Concessio'!A:A,'United_Smoothed Price Concessio'!C:C)</f>
        <v>$0.00</v>
      </c>
      <c r="CJ38" s="10">
        <f t="shared" si="28"/>
        <v>0</v>
      </c>
      <c r="CK38" s="10">
        <f>_xlfn.XLOOKUP(A38,'Icyte Report'!A:A,'Icyte Report'!CZ:CZ)</f>
        <v>0</v>
      </c>
      <c r="CL38" s="10" t="str">
        <f>_xlfn.XLOOKUP(A38,'United_Smoothed Price Concessio'!A:A,'United_Smoothed Price Concessio'!G:G)</f>
        <v>$0.00</v>
      </c>
      <c r="CM38" s="10">
        <f t="shared" si="29"/>
        <v>0</v>
      </c>
      <c r="CN38" s="13">
        <f>_xlfn.XLOOKUP(A38,'Icyte Report'!A:A,'Icyte Report'!DA:DA)</f>
        <v>0</v>
      </c>
      <c r="CO38" s="13" t="str">
        <f>_xlfn.XLOOKUP(A38,'United_Smoothed Price Concessio'!A:A,'United_Smoothed Price Concessio'!I:I)</f>
        <v>0.000000%</v>
      </c>
      <c r="CP38" s="10">
        <f t="shared" si="30"/>
        <v>0</v>
      </c>
      <c r="CQ38" s="10">
        <f>_xlfn.XLOOKUP(A38,'Icyte Report'!A:A,'Icyte Report'!DB:DB)</f>
        <v>0</v>
      </c>
      <c r="CR38" s="10" t="str">
        <f>_xlfn.XLOOKUP(A38,'United MAMP All Components'!A:A,'United MAMP All Components'!AX:AX)</f>
        <v>0.00</v>
      </c>
      <c r="CS38" s="10">
        <f t="shared" si="31"/>
        <v>0</v>
      </c>
      <c r="CT38" s="10">
        <f>_xlfn.XLOOKUP(A38,'Icyte Report'!A:A,'Icyte Report'!DC:DC)</f>
        <v>0</v>
      </c>
      <c r="CU38" s="10" t="str">
        <f>_xlfn.XLOOKUP(A38,'United MAMP All Components'!A:A,'United MAMP All Components'!BA:BA)</f>
        <v>0.00</v>
      </c>
      <c r="CV38" s="10">
        <f t="shared" si="32"/>
        <v>0</v>
      </c>
      <c r="CW38" s="10">
        <f>_xlfn.XLOOKUP(A38,'Icyte Report'!A:A,'Icyte Report'!DD:DD)</f>
        <v>0</v>
      </c>
      <c r="CX38" s="10" t="str">
        <f>_xlfn.XLOOKUP(A38,'United MAMP All Components'!A:A,'United MAMP All Components'!BD:BD)</f>
        <v>0.00</v>
      </c>
      <c r="CY38" s="10">
        <f t="shared" si="33"/>
        <v>0</v>
      </c>
      <c r="CZ38" s="10">
        <f>_xlfn.XLOOKUP(A38,'Icyte Report'!A:A,'Icyte Report'!DE:DE)</f>
        <v>0</v>
      </c>
      <c r="DA38" s="10" t="str">
        <f>_xlfn.XLOOKUP(A38,'United MAMP All Components'!A:A,'United MAMP All Components'!BE:BE)</f>
        <v>0.00</v>
      </c>
      <c r="DB38" s="10">
        <f t="shared" si="34"/>
        <v>0</v>
      </c>
      <c r="DC38" s="10">
        <f>_xlfn.XLOOKUP(A38,'Icyte Report'!A:A,'Icyte Report'!DI:DI)</f>
        <v>9.9999999999999995E-7</v>
      </c>
      <c r="DD38" s="10" t="str">
        <f>_xlfn.XLOOKUP(A38,'United MAMP All Components'!A:A,'United MAMP All Components'!BG:BG)</f>
        <v>0.000001</v>
      </c>
      <c r="DE38" s="10">
        <f t="shared" si="35"/>
        <v>0</v>
      </c>
    </row>
    <row r="39" spans="1:109" x14ac:dyDescent="0.35">
      <c r="A39" s="10" t="s">
        <v>179</v>
      </c>
      <c r="B39" s="10" t="s">
        <v>450</v>
      </c>
      <c r="C39" s="10">
        <f>_xlfn.XLOOKUP(A39,'Icyte Report'!A:A,'Icyte Report'!W:W)</f>
        <v>0</v>
      </c>
      <c r="D39" s="10" t="str">
        <f>_xlfn.XLOOKUP(A39,'United MAMP All Components'!A:A,'United MAMP All Components'!B:B)</f>
        <v>0.00</v>
      </c>
      <c r="E39" s="10">
        <f t="shared" si="0"/>
        <v>0</v>
      </c>
      <c r="F39" s="10">
        <f>_xlfn.XLOOKUP(A39,'Icyte Report'!A:A,'Icyte Report'!X:X)</f>
        <v>0</v>
      </c>
      <c r="G39" s="10" t="str">
        <f>_xlfn.XLOOKUP(A39,'United MAMP All Components'!A:A,'United MAMP All Components'!C:C)</f>
        <v>0.00</v>
      </c>
      <c r="H39" s="10">
        <f t="shared" si="1"/>
        <v>0</v>
      </c>
      <c r="I39" s="10">
        <f>_xlfn.XLOOKUP(A39,'Icyte Report'!A:A,'Icyte Report'!Y:Y)</f>
        <v>0</v>
      </c>
      <c r="J39" s="10" t="str">
        <f>_xlfn.XLOOKUP(A39,'United MAMP All Components'!A:A,'United MAMP All Components'!E:E)</f>
        <v>0.00</v>
      </c>
      <c r="K39" s="10">
        <f t="shared" si="2"/>
        <v>0</v>
      </c>
      <c r="L39" s="10">
        <f>_xlfn.XLOOKUP(A39,'Icyte Report'!A:A,'Icyte Report'!Z:Z)</f>
        <v>0</v>
      </c>
      <c r="M39" s="10" t="str">
        <f>_xlfn.XLOOKUP(A39,'United MAMP All Components'!A:A,'United MAMP All Components'!F:F)</f>
        <v>0.00</v>
      </c>
      <c r="N39" s="10">
        <f t="shared" si="3"/>
        <v>0</v>
      </c>
      <c r="O39" s="10">
        <f>_xlfn.XLOOKUP(A39,'Icyte Report'!A:A,'Icyte Report'!AA:AA)</f>
        <v>0</v>
      </c>
      <c r="P39" s="10" t="str">
        <f>_xlfn.XLOOKUP(A39,'United MAMP All Components'!A:A,'United MAMP All Components'!H:H)</f>
        <v>0.00</v>
      </c>
      <c r="Q39" s="10">
        <f t="shared" si="4"/>
        <v>0</v>
      </c>
      <c r="R39" s="10">
        <f>_xlfn.XLOOKUP(A39,'Icyte Report'!A:A,'Icyte Report'!AB:AB)</f>
        <v>0</v>
      </c>
      <c r="S39" s="10" t="str">
        <f>_xlfn.XLOOKUP(A39,'United MAMP All Components'!A:A,'United MAMP All Components'!I:I)</f>
        <v>0.00</v>
      </c>
      <c r="T39" s="10">
        <f t="shared" si="5"/>
        <v>0</v>
      </c>
      <c r="U39" s="10">
        <f>_xlfn.XLOOKUP(A39,'Icyte Report'!A:A,'Icyte Report'!AC:AC)</f>
        <v>0</v>
      </c>
      <c r="V39" s="10" t="str">
        <f>_xlfn.XLOOKUP(A39,'United MAMP All Components'!A:A,'United MAMP All Components'!K:K)</f>
        <v>0.00</v>
      </c>
      <c r="W39" s="10">
        <f t="shared" si="6"/>
        <v>0</v>
      </c>
      <c r="X39" s="10">
        <f>_xlfn.XLOOKUP(A39,'Icyte Report'!A:A,'Icyte Report'!AD:AD)</f>
        <v>0</v>
      </c>
      <c r="Y39" s="10" t="str">
        <f>_xlfn.XLOOKUP(A39,'United MAMP All Components'!A:A,'United MAMP All Components'!L:L)</f>
        <v>0.00</v>
      </c>
      <c r="Z39" s="10">
        <f t="shared" si="7"/>
        <v>0</v>
      </c>
      <c r="AA39" s="10">
        <f>_xlfn.XLOOKUP(A39,'Icyte Report'!A:A,'Icyte Report'!AE:AE)</f>
        <v>0</v>
      </c>
      <c r="AB39" s="10" t="str">
        <f>_xlfn.XLOOKUP(A39,'United MAMP All Components'!A:A,'United MAMP All Components'!N:N)</f>
        <v>0.00</v>
      </c>
      <c r="AC39" s="10">
        <f t="shared" si="8"/>
        <v>0</v>
      </c>
      <c r="AD39" s="10">
        <f>_xlfn.XLOOKUP(A39,'Icyte Report'!A:A,'Icyte Report'!AF:AF)</f>
        <v>0</v>
      </c>
      <c r="AE39" s="10" t="str">
        <f>_xlfn.XLOOKUP(A39,'United MAMP All Components'!A:A,'United MAMP All Components'!O:O)</f>
        <v>0.00</v>
      </c>
      <c r="AF39" s="10">
        <f t="shared" si="9"/>
        <v>0</v>
      </c>
      <c r="AG39" s="10">
        <f>_xlfn.XLOOKUP(A39,'Icyte Report'!A:A,'Icyte Report'!AG:AG)</f>
        <v>0</v>
      </c>
      <c r="AH39" s="10" t="str">
        <f>_xlfn.XLOOKUP(A39,'United MAMP All Components'!A:A,'United MAMP All Components'!Q:Q)</f>
        <v>0.00</v>
      </c>
      <c r="AI39" s="10">
        <f t="shared" si="10"/>
        <v>0</v>
      </c>
      <c r="AJ39" s="10">
        <f>_xlfn.XLOOKUP(A39,'Icyte Report'!A:A,'Icyte Report'!AH:AH)</f>
        <v>0</v>
      </c>
      <c r="AK39" s="10" t="str">
        <f>_xlfn.XLOOKUP(A39,'United MAMP All Components'!A:A,'United MAMP All Components'!R:R)</f>
        <v>0.00</v>
      </c>
      <c r="AL39" s="10">
        <f t="shared" si="11"/>
        <v>0</v>
      </c>
      <c r="AM39" s="10">
        <f>_xlfn.XLOOKUP(A39,'Icyte Report'!A:A,'Icyte Report'!AS:AS)</f>
        <v>0</v>
      </c>
      <c r="AN39" s="10" t="str">
        <f>_xlfn.XLOOKUP(A39,'United MAMP All Components'!A:A,'United MAMP All Components'!T:T)</f>
        <v>0.00</v>
      </c>
      <c r="AO39" s="10">
        <f t="shared" si="12"/>
        <v>0</v>
      </c>
      <c r="AP39" s="10">
        <f>_xlfn.XLOOKUP(A39,'Icyte Report'!A:A,'Icyte Report'!AT:AT)</f>
        <v>0</v>
      </c>
      <c r="AQ39" s="10" t="str">
        <f>_xlfn.XLOOKUP(A39,'United MAMP All Components'!A:A,'United MAMP All Components'!U:U)</f>
        <v>0.00</v>
      </c>
      <c r="AR39" s="10">
        <f t="shared" si="13"/>
        <v>0</v>
      </c>
      <c r="AS39" s="10">
        <f>_xlfn.XLOOKUP(A39,'Icyte Report'!A:A,'Icyte Report'!AU:AU)</f>
        <v>0</v>
      </c>
      <c r="AT39" s="10" t="str">
        <f>_xlfn.XLOOKUP(A39,'United MAMP All Components'!A:A,'United MAMP All Components'!AO:AO)</f>
        <v>0.00</v>
      </c>
      <c r="AU39" s="10">
        <f t="shared" si="14"/>
        <v>0</v>
      </c>
      <c r="AV39" s="10">
        <f>_xlfn.XLOOKUP(A39,'Icyte Report'!A:A,'Icyte Report'!AV:AV)</f>
        <v>0</v>
      </c>
      <c r="AW39" s="10" t="str">
        <f>_xlfn.XLOOKUP(A39,'United MAMP All Components'!A:A,'United MAMP All Components'!AP:AP)</f>
        <v>0.00</v>
      </c>
      <c r="AX39" s="10">
        <f t="shared" si="15"/>
        <v>0</v>
      </c>
      <c r="AY39" s="10">
        <f>_xlfn.XLOOKUP(A39,'Icyte Report'!A:A,'Icyte Report'!BH:BH)</f>
        <v>0</v>
      </c>
      <c r="AZ39" s="10" t="e">
        <f>_xlfn.XLOOKUP(A39,'United Smoothed Indirect Inelig'!A:A,'United Smoothed Indirect Inelig'!D:D)</f>
        <v>#N/A</v>
      </c>
      <c r="BA39" s="10" t="e">
        <f t="shared" si="16"/>
        <v>#N/A</v>
      </c>
      <c r="BB39" s="10">
        <f>_xlfn.XLOOKUP(A39,'Icyte Report'!A:A,'Icyte Report'!BK:BK)</f>
        <v>0</v>
      </c>
      <c r="BC39" s="10" t="e">
        <f t="shared" si="17"/>
        <v>#N/A</v>
      </c>
      <c r="BD39" s="10">
        <f>_xlfn.XLOOKUP(A39,'Icyte Report'!A:A,'Icyte Report'!BN:BN)</f>
        <v>0</v>
      </c>
      <c r="BE39" s="10" t="e">
        <f>_xlfn.XLOOKUP(A39,'United Smoothed Indirect Inelig'!A:A,'United Smoothed Indirect Inelig'!C:C)</f>
        <v>#N/A</v>
      </c>
      <c r="BF39" s="10" t="e">
        <f t="shared" si="18"/>
        <v>#N/A</v>
      </c>
      <c r="BG39" s="10">
        <f>_xlfn.XLOOKUP(A39,'Icyte Report'!A:A,'Icyte Report'!BR:BR)</f>
        <v>0</v>
      </c>
      <c r="BH39" s="10" t="e">
        <f>_xlfn.XLOOKUP(A39,'United Smoothed Indirect Inelig'!A:A,'United Smoothed Indirect Inelig'!B:B)</f>
        <v>#N/A</v>
      </c>
      <c r="BI39" s="10" t="e">
        <f t="shared" si="19"/>
        <v>#N/A</v>
      </c>
      <c r="BJ39" s="10">
        <f>_xlfn.XLOOKUP(A39,'Icyte Report'!A:A,'Icyte Report'!BV:BV)</f>
        <v>0</v>
      </c>
      <c r="BK39" s="10" t="e">
        <f>_xlfn.XLOOKUP(A39,'United Smoothed Indirect Inelig'!A:A,'United Smoothed Indirect Inelig'!P:P)</f>
        <v>#N/A</v>
      </c>
      <c r="BL39" s="10" t="e">
        <f t="shared" si="20"/>
        <v>#N/A</v>
      </c>
      <c r="BM39" s="13">
        <f>_xlfn.XLOOKUP(A39,'Icyte Report'!A:A,'Icyte Report'!BW:BW)</f>
        <v>0</v>
      </c>
      <c r="BN39" s="13" t="e">
        <f>_xlfn.XLOOKUP(A39,'United Smoothed Indirect Inelig'!A:A,'United Smoothed Indirect Inelig'!G:G)+_xlfn.XLOOKUP(A39,'United Smoothed Indirect Inelig'!A:A,'United Smoothed Indirect Inelig'!H:H) + _xlfn.XLOOKUP(A39,'United Smoothed Indirect Inelig'!A:A,'United Smoothed Indirect Inelig'!I:I)+_xlfn.XLOOKUP(A39,'United Smoothed Indirect Inelig'!A:A,'United Smoothed Indirect Inelig'!J:J)</f>
        <v>#N/A</v>
      </c>
      <c r="BO39" s="18" t="e">
        <f t="shared" si="21"/>
        <v>#N/A</v>
      </c>
      <c r="BP39" s="10">
        <f>_xlfn.XLOOKUP(A39,'Icyte Report'!A:A,'Icyte Report'!BY:BY)</f>
        <v>0</v>
      </c>
      <c r="BQ39" s="10" t="e">
        <f>_xlfn.XLOOKUP(A39,'United Smoothed Indirect Inelig'!A:A,'United Smoothed Indirect Inelig'!L:L)+_xlfn.XLOOKUP(A39,'United Smoothed Indirect Inelig'!A:A,'United Smoothed Indirect Inelig'!M:M) + _xlfn.XLOOKUP(A39,'United Smoothed Indirect Inelig'!A:A,'United Smoothed Indirect Inelig'!N:N)+_xlfn.XLOOKUP(A39,'United Smoothed Indirect Inelig'!A:A,'United Smoothed Indirect Inelig'!O:O)</f>
        <v>#N/A</v>
      </c>
      <c r="BR39" s="10" t="e">
        <f t="shared" si="22"/>
        <v>#N/A</v>
      </c>
      <c r="BS39" s="10">
        <f>_xlfn.XLOOKUP(A39,'Icyte Report'!A:A,'Icyte Report'!BZ:BZ)</f>
        <v>0</v>
      </c>
      <c r="BT39" s="10" t="str">
        <f>_xlfn.XLOOKUP(A39,'United MAMP All Components'!A:A,'United MAMP All Components'!AL:AL)</f>
        <v>0.00</v>
      </c>
      <c r="BU39" s="10">
        <f t="shared" si="23"/>
        <v>0</v>
      </c>
      <c r="BV39" s="26">
        <f>_xlfn.XLOOKUP(A39,'Icyte Report'!A:A,'Icyte Report'!CA:CA)</f>
        <v>0</v>
      </c>
      <c r="BW39" s="22" t="str">
        <f>_xlfn.XLOOKUP(A39,'United MAMP All Components'!A:A,'United MAMP All Components'!AM:AM)</f>
        <v>0.00</v>
      </c>
      <c r="BX39" s="10">
        <f t="shared" si="24"/>
        <v>0</v>
      </c>
      <c r="BY39" s="10">
        <f>_xlfn.XLOOKUP(A39,'Icyte Report'!A:A,'Icyte Report'!CD:CD)</f>
        <v>0</v>
      </c>
      <c r="BZ39" s="10" t="str">
        <f>_xlfn.XLOOKUP(A39,'United_Smoothed Price Concessio'!A:A,'United_Smoothed Price Concessio'!D:D)</f>
        <v>$0.00</v>
      </c>
      <c r="CA39" s="10">
        <f t="shared" si="25"/>
        <v>0</v>
      </c>
      <c r="CB39" s="10">
        <f>_xlfn.XLOOKUP(A39,'Icyte Report'!A:A,'Icyte Report'!CF:CF)</f>
        <v>0</v>
      </c>
      <c r="CC39" s="10" t="e">
        <f>_xlfn.XLOOKUP(A39,'United Smoothed Indirect Inelig'!A:A,'United Smoothed Indirect Inelig'!F:F)</f>
        <v>#N/A</v>
      </c>
      <c r="CD39" s="10" t="e">
        <f t="shared" si="26"/>
        <v>#N/A</v>
      </c>
      <c r="CE39" s="10">
        <f>_xlfn.XLOOKUP(A39,'Icyte Report'!A:A,'Icyte Report'!CL:CL)</f>
        <v>0</v>
      </c>
      <c r="CF39" s="10" t="str">
        <f>_xlfn.XLOOKUP(A39,'United_Smoothed Price Concessio'!A:A,'United_Smoothed Price Concessio'!H:H)</f>
        <v>$0.00</v>
      </c>
      <c r="CG39" s="10">
        <f t="shared" si="27"/>
        <v>0</v>
      </c>
      <c r="CH39" s="10">
        <f>_xlfn.XLOOKUP(A39,'Icyte Report'!A:A,'Icyte Report'!CY:CY)</f>
        <v>0</v>
      </c>
      <c r="CI39" s="10" t="str">
        <f>_xlfn.XLOOKUP(A39,'United_Smoothed Price Concessio'!A:A,'United_Smoothed Price Concessio'!C:C)</f>
        <v>$0.00</v>
      </c>
      <c r="CJ39" s="10">
        <f t="shared" si="28"/>
        <v>0</v>
      </c>
      <c r="CK39" s="10">
        <f>_xlfn.XLOOKUP(A39,'Icyte Report'!A:A,'Icyte Report'!CZ:CZ)</f>
        <v>0</v>
      </c>
      <c r="CL39" s="10" t="str">
        <f>_xlfn.XLOOKUP(A39,'United_Smoothed Price Concessio'!A:A,'United_Smoothed Price Concessio'!G:G)</f>
        <v>$0.00</v>
      </c>
      <c r="CM39" s="10">
        <f t="shared" si="29"/>
        <v>0</v>
      </c>
      <c r="CN39" s="13">
        <f>_xlfn.XLOOKUP(A39,'Icyte Report'!A:A,'Icyte Report'!DA:DA)</f>
        <v>0</v>
      </c>
      <c r="CO39" s="13" t="str">
        <f>_xlfn.XLOOKUP(A39,'United_Smoothed Price Concessio'!A:A,'United_Smoothed Price Concessio'!I:I)</f>
        <v>0.000000%</v>
      </c>
      <c r="CP39" s="10">
        <f t="shared" si="30"/>
        <v>0</v>
      </c>
      <c r="CQ39" s="10">
        <f>_xlfn.XLOOKUP(A39,'Icyte Report'!A:A,'Icyte Report'!DB:DB)</f>
        <v>0</v>
      </c>
      <c r="CR39" s="10" t="str">
        <f>_xlfn.XLOOKUP(A39,'United MAMP All Components'!A:A,'United MAMP All Components'!AX:AX)</f>
        <v>0.00</v>
      </c>
      <c r="CS39" s="10">
        <f t="shared" si="31"/>
        <v>0</v>
      </c>
      <c r="CT39" s="10">
        <f>_xlfn.XLOOKUP(A39,'Icyte Report'!A:A,'Icyte Report'!DC:DC)</f>
        <v>0</v>
      </c>
      <c r="CU39" s="10" t="str">
        <f>_xlfn.XLOOKUP(A39,'United MAMP All Components'!A:A,'United MAMP All Components'!BA:BA)</f>
        <v>0.00</v>
      </c>
      <c r="CV39" s="10">
        <f t="shared" si="32"/>
        <v>0</v>
      </c>
      <c r="CW39" s="10">
        <f>_xlfn.XLOOKUP(A39,'Icyte Report'!A:A,'Icyte Report'!DD:DD)</f>
        <v>0</v>
      </c>
      <c r="CX39" s="10" t="str">
        <f>_xlfn.XLOOKUP(A39,'United MAMP All Components'!A:A,'United MAMP All Components'!BD:BD)</f>
        <v>0.00</v>
      </c>
      <c r="CY39" s="10">
        <f t="shared" si="33"/>
        <v>0</v>
      </c>
      <c r="CZ39" s="10">
        <f>_xlfn.XLOOKUP(A39,'Icyte Report'!A:A,'Icyte Report'!DE:DE)</f>
        <v>0</v>
      </c>
      <c r="DA39" s="10" t="str">
        <f>_xlfn.XLOOKUP(A39,'United MAMP All Components'!A:A,'United MAMP All Components'!BE:BE)</f>
        <v>0.00</v>
      </c>
      <c r="DB39" s="10">
        <f t="shared" si="34"/>
        <v>0</v>
      </c>
      <c r="DC39" s="10">
        <f>_xlfn.XLOOKUP(A39,'Icyte Report'!A:A,'Icyte Report'!DI:DI)</f>
        <v>9.9999999999999995E-7</v>
      </c>
      <c r="DD39" s="10" t="str">
        <f>_xlfn.XLOOKUP(A39,'United MAMP All Components'!A:A,'United MAMP All Components'!BG:BG)</f>
        <v>0.000001</v>
      </c>
      <c r="DE39" s="10">
        <f t="shared" si="35"/>
        <v>0</v>
      </c>
    </row>
    <row r="40" spans="1:109" x14ac:dyDescent="0.35">
      <c r="A40" s="10" t="s">
        <v>180</v>
      </c>
      <c r="B40" s="10" t="s">
        <v>451</v>
      </c>
      <c r="C40" s="10">
        <f>_xlfn.XLOOKUP(A40,'Icyte Report'!A:A,'Icyte Report'!W:W)</f>
        <v>0</v>
      </c>
      <c r="D40" s="10" t="str">
        <f>_xlfn.XLOOKUP(A40,'United MAMP All Components'!A:A,'United MAMP All Components'!B:B)</f>
        <v>0.00</v>
      </c>
      <c r="E40" s="10">
        <f t="shared" si="0"/>
        <v>0</v>
      </c>
      <c r="F40" s="10">
        <f>_xlfn.XLOOKUP(A40,'Icyte Report'!A:A,'Icyte Report'!X:X)</f>
        <v>0</v>
      </c>
      <c r="G40" s="10" t="str">
        <f>_xlfn.XLOOKUP(A40,'United MAMP All Components'!A:A,'United MAMP All Components'!C:C)</f>
        <v>0.00</v>
      </c>
      <c r="H40" s="10">
        <f t="shared" si="1"/>
        <v>0</v>
      </c>
      <c r="I40" s="10">
        <f>_xlfn.XLOOKUP(A40,'Icyte Report'!A:A,'Icyte Report'!Y:Y)</f>
        <v>0</v>
      </c>
      <c r="J40" s="10" t="str">
        <f>_xlfn.XLOOKUP(A40,'United MAMP All Components'!A:A,'United MAMP All Components'!E:E)</f>
        <v>0.00</v>
      </c>
      <c r="K40" s="10">
        <f t="shared" si="2"/>
        <v>0</v>
      </c>
      <c r="L40" s="10">
        <f>_xlfn.XLOOKUP(A40,'Icyte Report'!A:A,'Icyte Report'!Z:Z)</f>
        <v>0</v>
      </c>
      <c r="M40" s="10" t="str">
        <f>_xlfn.XLOOKUP(A40,'United MAMP All Components'!A:A,'United MAMP All Components'!F:F)</f>
        <v>0.00</v>
      </c>
      <c r="N40" s="10">
        <f t="shared" si="3"/>
        <v>0</v>
      </c>
      <c r="O40" s="10">
        <f>_xlfn.XLOOKUP(A40,'Icyte Report'!A:A,'Icyte Report'!AA:AA)</f>
        <v>0</v>
      </c>
      <c r="P40" s="10" t="str">
        <f>_xlfn.XLOOKUP(A40,'United MAMP All Components'!A:A,'United MAMP All Components'!H:H)</f>
        <v>0.00</v>
      </c>
      <c r="Q40" s="10">
        <f t="shared" si="4"/>
        <v>0</v>
      </c>
      <c r="R40" s="10">
        <f>_xlfn.XLOOKUP(A40,'Icyte Report'!A:A,'Icyte Report'!AB:AB)</f>
        <v>0</v>
      </c>
      <c r="S40" s="10" t="str">
        <f>_xlfn.XLOOKUP(A40,'United MAMP All Components'!A:A,'United MAMP All Components'!I:I)</f>
        <v>0.00</v>
      </c>
      <c r="T40" s="10">
        <f t="shared" si="5"/>
        <v>0</v>
      </c>
      <c r="U40" s="10">
        <f>_xlfn.XLOOKUP(A40,'Icyte Report'!A:A,'Icyte Report'!AC:AC)</f>
        <v>0</v>
      </c>
      <c r="V40" s="10" t="str">
        <f>_xlfn.XLOOKUP(A40,'United MAMP All Components'!A:A,'United MAMP All Components'!K:K)</f>
        <v>0.00</v>
      </c>
      <c r="W40" s="10">
        <f t="shared" si="6"/>
        <v>0</v>
      </c>
      <c r="X40" s="10">
        <f>_xlfn.XLOOKUP(A40,'Icyte Report'!A:A,'Icyte Report'!AD:AD)</f>
        <v>0</v>
      </c>
      <c r="Y40" s="10" t="str">
        <f>_xlfn.XLOOKUP(A40,'United MAMP All Components'!A:A,'United MAMP All Components'!L:L)</f>
        <v>0.00</v>
      </c>
      <c r="Z40" s="10">
        <f t="shared" si="7"/>
        <v>0</v>
      </c>
      <c r="AA40" s="10">
        <f>_xlfn.XLOOKUP(A40,'Icyte Report'!A:A,'Icyte Report'!AE:AE)</f>
        <v>0</v>
      </c>
      <c r="AB40" s="10" t="str">
        <f>_xlfn.XLOOKUP(A40,'United MAMP All Components'!A:A,'United MAMP All Components'!N:N)</f>
        <v>0.00</v>
      </c>
      <c r="AC40" s="10">
        <f t="shared" si="8"/>
        <v>0</v>
      </c>
      <c r="AD40" s="10">
        <f>_xlfn.XLOOKUP(A40,'Icyte Report'!A:A,'Icyte Report'!AF:AF)</f>
        <v>0</v>
      </c>
      <c r="AE40" s="10" t="str">
        <f>_xlfn.XLOOKUP(A40,'United MAMP All Components'!A:A,'United MAMP All Components'!O:O)</f>
        <v>0.00</v>
      </c>
      <c r="AF40" s="10">
        <f t="shared" si="9"/>
        <v>0</v>
      </c>
      <c r="AG40" s="10">
        <f>_xlfn.XLOOKUP(A40,'Icyte Report'!A:A,'Icyte Report'!AG:AG)</f>
        <v>0</v>
      </c>
      <c r="AH40" s="10" t="str">
        <f>_xlfn.XLOOKUP(A40,'United MAMP All Components'!A:A,'United MAMP All Components'!Q:Q)</f>
        <v>0.00</v>
      </c>
      <c r="AI40" s="10">
        <f t="shared" si="10"/>
        <v>0</v>
      </c>
      <c r="AJ40" s="10">
        <f>_xlfn.XLOOKUP(A40,'Icyte Report'!A:A,'Icyte Report'!AH:AH)</f>
        <v>0</v>
      </c>
      <c r="AK40" s="10" t="str">
        <f>_xlfn.XLOOKUP(A40,'United MAMP All Components'!A:A,'United MAMP All Components'!R:R)</f>
        <v>0.00</v>
      </c>
      <c r="AL40" s="10">
        <f t="shared" si="11"/>
        <v>0</v>
      </c>
      <c r="AM40" s="10">
        <f>_xlfn.XLOOKUP(A40,'Icyte Report'!A:A,'Icyte Report'!AS:AS)</f>
        <v>0</v>
      </c>
      <c r="AN40" s="10" t="str">
        <f>_xlfn.XLOOKUP(A40,'United MAMP All Components'!A:A,'United MAMP All Components'!T:T)</f>
        <v>0.00</v>
      </c>
      <c r="AO40" s="10">
        <f t="shared" si="12"/>
        <v>0</v>
      </c>
      <c r="AP40" s="10">
        <f>_xlfn.XLOOKUP(A40,'Icyte Report'!A:A,'Icyte Report'!AT:AT)</f>
        <v>0</v>
      </c>
      <c r="AQ40" s="10" t="str">
        <f>_xlfn.XLOOKUP(A40,'United MAMP All Components'!A:A,'United MAMP All Components'!U:U)</f>
        <v>0.00</v>
      </c>
      <c r="AR40" s="10">
        <f t="shared" si="13"/>
        <v>0</v>
      </c>
      <c r="AS40" s="10">
        <f>_xlfn.XLOOKUP(A40,'Icyte Report'!A:A,'Icyte Report'!AU:AU)</f>
        <v>0</v>
      </c>
      <c r="AT40" s="10" t="str">
        <f>_xlfn.XLOOKUP(A40,'United MAMP All Components'!A:A,'United MAMP All Components'!AO:AO)</f>
        <v>0.00</v>
      </c>
      <c r="AU40" s="10">
        <f t="shared" si="14"/>
        <v>0</v>
      </c>
      <c r="AV40" s="10">
        <f>_xlfn.XLOOKUP(A40,'Icyte Report'!A:A,'Icyte Report'!AV:AV)</f>
        <v>0</v>
      </c>
      <c r="AW40" s="10" t="str">
        <f>_xlfn.XLOOKUP(A40,'United MAMP All Components'!A:A,'United MAMP All Components'!AP:AP)</f>
        <v>0.00</v>
      </c>
      <c r="AX40" s="10">
        <f t="shared" si="15"/>
        <v>0</v>
      </c>
      <c r="AY40" s="10">
        <f>_xlfn.XLOOKUP(A40,'Icyte Report'!A:A,'Icyte Report'!BH:BH)</f>
        <v>0</v>
      </c>
      <c r="AZ40" s="10" t="e">
        <f>_xlfn.XLOOKUP(A40,'United Smoothed Indirect Inelig'!A:A,'United Smoothed Indirect Inelig'!D:D)</f>
        <v>#N/A</v>
      </c>
      <c r="BA40" s="10" t="e">
        <f t="shared" si="16"/>
        <v>#N/A</v>
      </c>
      <c r="BB40" s="10">
        <f>_xlfn.XLOOKUP(A40,'Icyte Report'!A:A,'Icyte Report'!BK:BK)</f>
        <v>0</v>
      </c>
      <c r="BC40" s="10" t="e">
        <f t="shared" si="17"/>
        <v>#N/A</v>
      </c>
      <c r="BD40" s="10">
        <f>_xlfn.XLOOKUP(A40,'Icyte Report'!A:A,'Icyte Report'!BN:BN)</f>
        <v>0</v>
      </c>
      <c r="BE40" s="10" t="e">
        <f>_xlfn.XLOOKUP(A40,'United Smoothed Indirect Inelig'!A:A,'United Smoothed Indirect Inelig'!C:C)</f>
        <v>#N/A</v>
      </c>
      <c r="BF40" s="10" t="e">
        <f t="shared" si="18"/>
        <v>#N/A</v>
      </c>
      <c r="BG40" s="10">
        <f>_xlfn.XLOOKUP(A40,'Icyte Report'!A:A,'Icyte Report'!BR:BR)</f>
        <v>0</v>
      </c>
      <c r="BH40" s="10" t="e">
        <f>_xlfn.XLOOKUP(A40,'United Smoothed Indirect Inelig'!A:A,'United Smoothed Indirect Inelig'!B:B)</f>
        <v>#N/A</v>
      </c>
      <c r="BI40" s="10" t="e">
        <f t="shared" si="19"/>
        <v>#N/A</v>
      </c>
      <c r="BJ40" s="10">
        <f>_xlfn.XLOOKUP(A40,'Icyte Report'!A:A,'Icyte Report'!BV:BV)</f>
        <v>0</v>
      </c>
      <c r="BK40" s="10" t="e">
        <f>_xlfn.XLOOKUP(A40,'United Smoothed Indirect Inelig'!A:A,'United Smoothed Indirect Inelig'!P:P)</f>
        <v>#N/A</v>
      </c>
      <c r="BL40" s="10" t="e">
        <f t="shared" si="20"/>
        <v>#N/A</v>
      </c>
      <c r="BM40" s="13">
        <f>_xlfn.XLOOKUP(A40,'Icyte Report'!A:A,'Icyte Report'!BW:BW)</f>
        <v>0</v>
      </c>
      <c r="BN40" s="13" t="e">
        <f>_xlfn.XLOOKUP(A40,'United Smoothed Indirect Inelig'!A:A,'United Smoothed Indirect Inelig'!G:G)+_xlfn.XLOOKUP(A40,'United Smoothed Indirect Inelig'!A:A,'United Smoothed Indirect Inelig'!H:H) + _xlfn.XLOOKUP(A40,'United Smoothed Indirect Inelig'!A:A,'United Smoothed Indirect Inelig'!I:I)+_xlfn.XLOOKUP(A40,'United Smoothed Indirect Inelig'!A:A,'United Smoothed Indirect Inelig'!J:J)</f>
        <v>#N/A</v>
      </c>
      <c r="BO40" s="18" t="e">
        <f t="shared" si="21"/>
        <v>#N/A</v>
      </c>
      <c r="BP40" s="10">
        <f>_xlfn.XLOOKUP(A40,'Icyte Report'!A:A,'Icyte Report'!BY:BY)</f>
        <v>0</v>
      </c>
      <c r="BQ40" s="10" t="e">
        <f>_xlfn.XLOOKUP(A40,'United Smoothed Indirect Inelig'!A:A,'United Smoothed Indirect Inelig'!L:L)+_xlfn.XLOOKUP(A40,'United Smoothed Indirect Inelig'!A:A,'United Smoothed Indirect Inelig'!M:M) + _xlfn.XLOOKUP(A40,'United Smoothed Indirect Inelig'!A:A,'United Smoothed Indirect Inelig'!N:N)+_xlfn.XLOOKUP(A40,'United Smoothed Indirect Inelig'!A:A,'United Smoothed Indirect Inelig'!O:O)</f>
        <v>#N/A</v>
      </c>
      <c r="BR40" s="10" t="e">
        <f t="shared" si="22"/>
        <v>#N/A</v>
      </c>
      <c r="BS40" s="10">
        <f>_xlfn.XLOOKUP(A40,'Icyte Report'!A:A,'Icyte Report'!BZ:BZ)</f>
        <v>0</v>
      </c>
      <c r="BT40" s="10" t="str">
        <f>_xlfn.XLOOKUP(A40,'United MAMP All Components'!A:A,'United MAMP All Components'!AL:AL)</f>
        <v>0.00</v>
      </c>
      <c r="BU40" s="10">
        <f t="shared" si="23"/>
        <v>0</v>
      </c>
      <c r="BV40" s="26">
        <f>_xlfn.XLOOKUP(A40,'Icyte Report'!A:A,'Icyte Report'!CA:CA)</f>
        <v>0</v>
      </c>
      <c r="BW40" s="22" t="str">
        <f>_xlfn.XLOOKUP(A40,'United MAMP All Components'!A:A,'United MAMP All Components'!AM:AM)</f>
        <v>0.00</v>
      </c>
      <c r="BX40" s="10">
        <f t="shared" si="24"/>
        <v>0</v>
      </c>
      <c r="BY40" s="10">
        <f>_xlfn.XLOOKUP(A40,'Icyte Report'!A:A,'Icyte Report'!CD:CD)</f>
        <v>0</v>
      </c>
      <c r="BZ40" s="10" t="str">
        <f>_xlfn.XLOOKUP(A40,'United_Smoothed Price Concessio'!A:A,'United_Smoothed Price Concessio'!D:D)</f>
        <v>$0.00</v>
      </c>
      <c r="CA40" s="10">
        <f t="shared" si="25"/>
        <v>0</v>
      </c>
      <c r="CB40" s="10">
        <f>_xlfn.XLOOKUP(A40,'Icyte Report'!A:A,'Icyte Report'!CF:CF)</f>
        <v>0</v>
      </c>
      <c r="CC40" s="10" t="e">
        <f>_xlfn.XLOOKUP(A40,'United Smoothed Indirect Inelig'!A:A,'United Smoothed Indirect Inelig'!F:F)</f>
        <v>#N/A</v>
      </c>
      <c r="CD40" s="10" t="e">
        <f t="shared" si="26"/>
        <v>#N/A</v>
      </c>
      <c r="CE40" s="10">
        <f>_xlfn.XLOOKUP(A40,'Icyte Report'!A:A,'Icyte Report'!CL:CL)</f>
        <v>0</v>
      </c>
      <c r="CF40" s="10" t="str">
        <f>_xlfn.XLOOKUP(A40,'United_Smoothed Price Concessio'!A:A,'United_Smoothed Price Concessio'!H:H)</f>
        <v>$0.00</v>
      </c>
      <c r="CG40" s="10">
        <f t="shared" si="27"/>
        <v>0</v>
      </c>
      <c r="CH40" s="10">
        <f>_xlfn.XLOOKUP(A40,'Icyte Report'!A:A,'Icyte Report'!CY:CY)</f>
        <v>0</v>
      </c>
      <c r="CI40" s="10" t="str">
        <f>_xlfn.XLOOKUP(A40,'United_Smoothed Price Concessio'!A:A,'United_Smoothed Price Concessio'!C:C)</f>
        <v>$0.00</v>
      </c>
      <c r="CJ40" s="10">
        <f t="shared" si="28"/>
        <v>0</v>
      </c>
      <c r="CK40" s="10">
        <f>_xlfn.XLOOKUP(A40,'Icyte Report'!A:A,'Icyte Report'!CZ:CZ)</f>
        <v>0</v>
      </c>
      <c r="CL40" s="10" t="str">
        <f>_xlfn.XLOOKUP(A40,'United_Smoothed Price Concessio'!A:A,'United_Smoothed Price Concessio'!G:G)</f>
        <v>$0.00</v>
      </c>
      <c r="CM40" s="10">
        <f t="shared" si="29"/>
        <v>0</v>
      </c>
      <c r="CN40" s="13">
        <f>_xlfn.XLOOKUP(A40,'Icyte Report'!A:A,'Icyte Report'!DA:DA)</f>
        <v>0</v>
      </c>
      <c r="CO40" s="13" t="str">
        <f>_xlfn.XLOOKUP(A40,'United_Smoothed Price Concessio'!A:A,'United_Smoothed Price Concessio'!I:I)</f>
        <v>0.000000%</v>
      </c>
      <c r="CP40" s="10">
        <f t="shared" si="30"/>
        <v>0</v>
      </c>
      <c r="CQ40" s="10">
        <f>_xlfn.XLOOKUP(A40,'Icyte Report'!A:A,'Icyte Report'!DB:DB)</f>
        <v>0</v>
      </c>
      <c r="CR40" s="10" t="str">
        <f>_xlfn.XLOOKUP(A40,'United MAMP All Components'!A:A,'United MAMP All Components'!AX:AX)</f>
        <v>0.00</v>
      </c>
      <c r="CS40" s="10">
        <f t="shared" si="31"/>
        <v>0</v>
      </c>
      <c r="CT40" s="10">
        <f>_xlfn.XLOOKUP(A40,'Icyte Report'!A:A,'Icyte Report'!DC:DC)</f>
        <v>0</v>
      </c>
      <c r="CU40" s="10" t="str">
        <f>_xlfn.XLOOKUP(A40,'United MAMP All Components'!A:A,'United MAMP All Components'!BA:BA)</f>
        <v>0.00</v>
      </c>
      <c r="CV40" s="10">
        <f t="shared" si="32"/>
        <v>0</v>
      </c>
      <c r="CW40" s="10">
        <f>_xlfn.XLOOKUP(A40,'Icyte Report'!A:A,'Icyte Report'!DD:DD)</f>
        <v>0</v>
      </c>
      <c r="CX40" s="10" t="str">
        <f>_xlfn.XLOOKUP(A40,'United MAMP All Components'!A:A,'United MAMP All Components'!BD:BD)</f>
        <v>0.00</v>
      </c>
      <c r="CY40" s="10">
        <f t="shared" si="33"/>
        <v>0</v>
      </c>
      <c r="CZ40" s="10">
        <f>_xlfn.XLOOKUP(A40,'Icyte Report'!A:A,'Icyte Report'!DE:DE)</f>
        <v>0</v>
      </c>
      <c r="DA40" s="10" t="str">
        <f>_xlfn.XLOOKUP(A40,'United MAMP All Components'!A:A,'United MAMP All Components'!BE:BE)</f>
        <v>0.00</v>
      </c>
      <c r="DB40" s="10">
        <f t="shared" si="34"/>
        <v>0</v>
      </c>
      <c r="DC40" s="10">
        <f>_xlfn.XLOOKUP(A40,'Icyte Report'!A:A,'Icyte Report'!DI:DI)</f>
        <v>9.9999999999999995E-7</v>
      </c>
      <c r="DD40" s="10" t="str">
        <f>_xlfn.XLOOKUP(A40,'United MAMP All Components'!A:A,'United MAMP All Components'!BG:BG)</f>
        <v>0.000001</v>
      </c>
      <c r="DE40" s="10">
        <f t="shared" si="35"/>
        <v>0</v>
      </c>
    </row>
    <row r="41" spans="1:109" x14ac:dyDescent="0.35">
      <c r="A41" s="10" t="s">
        <v>181</v>
      </c>
      <c r="B41" s="10" t="s">
        <v>452</v>
      </c>
      <c r="C41" s="10">
        <f>_xlfn.XLOOKUP(A41,'Icyte Report'!A:A,'Icyte Report'!W:W)</f>
        <v>0</v>
      </c>
      <c r="D41" s="10" t="str">
        <f>_xlfn.XLOOKUP(A41,'United MAMP All Components'!A:A,'United MAMP All Components'!B:B)</f>
        <v>0.00</v>
      </c>
      <c r="E41" s="10">
        <f t="shared" si="0"/>
        <v>0</v>
      </c>
      <c r="F41" s="10">
        <f>_xlfn.XLOOKUP(A41,'Icyte Report'!A:A,'Icyte Report'!X:X)</f>
        <v>0</v>
      </c>
      <c r="G41" s="10" t="str">
        <f>_xlfn.XLOOKUP(A41,'United MAMP All Components'!A:A,'United MAMP All Components'!C:C)</f>
        <v>0.00</v>
      </c>
      <c r="H41" s="10">
        <f t="shared" si="1"/>
        <v>0</v>
      </c>
      <c r="I41" s="10">
        <f>_xlfn.XLOOKUP(A41,'Icyte Report'!A:A,'Icyte Report'!Y:Y)</f>
        <v>0</v>
      </c>
      <c r="J41" s="10" t="str">
        <f>_xlfn.XLOOKUP(A41,'United MAMP All Components'!A:A,'United MAMP All Components'!E:E)</f>
        <v>0.00</v>
      </c>
      <c r="K41" s="10">
        <f t="shared" si="2"/>
        <v>0</v>
      </c>
      <c r="L41" s="10">
        <f>_xlfn.XLOOKUP(A41,'Icyte Report'!A:A,'Icyte Report'!Z:Z)</f>
        <v>0</v>
      </c>
      <c r="M41" s="10" t="str">
        <f>_xlfn.XLOOKUP(A41,'United MAMP All Components'!A:A,'United MAMP All Components'!F:F)</f>
        <v>0.00</v>
      </c>
      <c r="N41" s="10">
        <f t="shared" si="3"/>
        <v>0</v>
      </c>
      <c r="O41" s="10">
        <f>_xlfn.XLOOKUP(A41,'Icyte Report'!A:A,'Icyte Report'!AA:AA)</f>
        <v>0</v>
      </c>
      <c r="P41" s="10" t="str">
        <f>_xlfn.XLOOKUP(A41,'United MAMP All Components'!A:A,'United MAMP All Components'!H:H)</f>
        <v>0.00</v>
      </c>
      <c r="Q41" s="10">
        <f t="shared" si="4"/>
        <v>0</v>
      </c>
      <c r="R41" s="10">
        <f>_xlfn.XLOOKUP(A41,'Icyte Report'!A:A,'Icyte Report'!AB:AB)</f>
        <v>0</v>
      </c>
      <c r="S41" s="10" t="str">
        <f>_xlfn.XLOOKUP(A41,'United MAMP All Components'!A:A,'United MAMP All Components'!I:I)</f>
        <v>0.00</v>
      </c>
      <c r="T41" s="10">
        <f t="shared" si="5"/>
        <v>0</v>
      </c>
      <c r="U41" s="10">
        <f>_xlfn.XLOOKUP(A41,'Icyte Report'!A:A,'Icyte Report'!AC:AC)</f>
        <v>0</v>
      </c>
      <c r="V41" s="10" t="str">
        <f>_xlfn.XLOOKUP(A41,'United MAMP All Components'!A:A,'United MAMP All Components'!K:K)</f>
        <v>0.00</v>
      </c>
      <c r="W41" s="10">
        <f t="shared" si="6"/>
        <v>0</v>
      </c>
      <c r="X41" s="10">
        <f>_xlfn.XLOOKUP(A41,'Icyte Report'!A:A,'Icyte Report'!AD:AD)</f>
        <v>0</v>
      </c>
      <c r="Y41" s="10" t="str">
        <f>_xlfn.XLOOKUP(A41,'United MAMP All Components'!A:A,'United MAMP All Components'!L:L)</f>
        <v>0.00</v>
      </c>
      <c r="Z41" s="10">
        <f t="shared" si="7"/>
        <v>0</v>
      </c>
      <c r="AA41" s="10">
        <f>_xlfn.XLOOKUP(A41,'Icyte Report'!A:A,'Icyte Report'!AE:AE)</f>
        <v>0</v>
      </c>
      <c r="AB41" s="10" t="str">
        <f>_xlfn.XLOOKUP(A41,'United MAMP All Components'!A:A,'United MAMP All Components'!N:N)</f>
        <v>0.00</v>
      </c>
      <c r="AC41" s="10">
        <f t="shared" si="8"/>
        <v>0</v>
      </c>
      <c r="AD41" s="10">
        <f>_xlfn.XLOOKUP(A41,'Icyte Report'!A:A,'Icyte Report'!AF:AF)</f>
        <v>0</v>
      </c>
      <c r="AE41" s="10" t="str">
        <f>_xlfn.XLOOKUP(A41,'United MAMP All Components'!A:A,'United MAMP All Components'!O:O)</f>
        <v>0.00</v>
      </c>
      <c r="AF41" s="10">
        <f t="shared" si="9"/>
        <v>0</v>
      </c>
      <c r="AG41" s="10">
        <f>_xlfn.XLOOKUP(A41,'Icyte Report'!A:A,'Icyte Report'!AG:AG)</f>
        <v>0</v>
      </c>
      <c r="AH41" s="10" t="str">
        <f>_xlfn.XLOOKUP(A41,'United MAMP All Components'!A:A,'United MAMP All Components'!Q:Q)</f>
        <v>0.00</v>
      </c>
      <c r="AI41" s="10">
        <f t="shared" si="10"/>
        <v>0</v>
      </c>
      <c r="AJ41" s="10">
        <f>_xlfn.XLOOKUP(A41,'Icyte Report'!A:A,'Icyte Report'!AH:AH)</f>
        <v>0</v>
      </c>
      <c r="AK41" s="10" t="str">
        <f>_xlfn.XLOOKUP(A41,'United MAMP All Components'!A:A,'United MAMP All Components'!R:R)</f>
        <v>0.00</v>
      </c>
      <c r="AL41" s="10">
        <f t="shared" si="11"/>
        <v>0</v>
      </c>
      <c r="AM41" s="10">
        <f>_xlfn.XLOOKUP(A41,'Icyte Report'!A:A,'Icyte Report'!AS:AS)</f>
        <v>0</v>
      </c>
      <c r="AN41" s="10" t="str">
        <f>_xlfn.XLOOKUP(A41,'United MAMP All Components'!A:A,'United MAMP All Components'!T:T)</f>
        <v>0.00</v>
      </c>
      <c r="AO41" s="10">
        <f t="shared" si="12"/>
        <v>0</v>
      </c>
      <c r="AP41" s="10">
        <f>_xlfn.XLOOKUP(A41,'Icyte Report'!A:A,'Icyte Report'!AT:AT)</f>
        <v>0</v>
      </c>
      <c r="AQ41" s="10" t="str">
        <f>_xlfn.XLOOKUP(A41,'United MAMP All Components'!A:A,'United MAMP All Components'!U:U)</f>
        <v>0.00</v>
      </c>
      <c r="AR41" s="10">
        <f t="shared" si="13"/>
        <v>0</v>
      </c>
      <c r="AS41" s="10">
        <f>_xlfn.XLOOKUP(A41,'Icyte Report'!A:A,'Icyte Report'!AU:AU)</f>
        <v>0</v>
      </c>
      <c r="AT41" s="10" t="str">
        <f>_xlfn.XLOOKUP(A41,'United MAMP All Components'!A:A,'United MAMP All Components'!AO:AO)</f>
        <v>0.00</v>
      </c>
      <c r="AU41" s="10">
        <f t="shared" si="14"/>
        <v>0</v>
      </c>
      <c r="AV41" s="10">
        <f>_xlfn.XLOOKUP(A41,'Icyte Report'!A:A,'Icyte Report'!AV:AV)</f>
        <v>0</v>
      </c>
      <c r="AW41" s="10" t="str">
        <f>_xlfn.XLOOKUP(A41,'United MAMP All Components'!A:A,'United MAMP All Components'!AP:AP)</f>
        <v>0.00</v>
      </c>
      <c r="AX41" s="10">
        <f t="shared" si="15"/>
        <v>0</v>
      </c>
      <c r="AY41" s="10">
        <f>_xlfn.XLOOKUP(A41,'Icyte Report'!A:A,'Icyte Report'!BH:BH)</f>
        <v>0</v>
      </c>
      <c r="AZ41" s="10" t="e">
        <f>_xlfn.XLOOKUP(A41,'United Smoothed Indirect Inelig'!A:A,'United Smoothed Indirect Inelig'!D:D)</f>
        <v>#N/A</v>
      </c>
      <c r="BA41" s="10" t="e">
        <f t="shared" si="16"/>
        <v>#N/A</v>
      </c>
      <c r="BB41" s="10">
        <f>_xlfn.XLOOKUP(A41,'Icyte Report'!A:A,'Icyte Report'!BK:BK)</f>
        <v>0</v>
      </c>
      <c r="BC41" s="10" t="e">
        <f t="shared" si="17"/>
        <v>#N/A</v>
      </c>
      <c r="BD41" s="10">
        <f>_xlfn.XLOOKUP(A41,'Icyte Report'!A:A,'Icyte Report'!BN:BN)</f>
        <v>0</v>
      </c>
      <c r="BE41" s="10" t="e">
        <f>_xlfn.XLOOKUP(A41,'United Smoothed Indirect Inelig'!A:A,'United Smoothed Indirect Inelig'!C:C)</f>
        <v>#N/A</v>
      </c>
      <c r="BF41" s="10" t="e">
        <f t="shared" si="18"/>
        <v>#N/A</v>
      </c>
      <c r="BG41" s="10">
        <f>_xlfn.XLOOKUP(A41,'Icyte Report'!A:A,'Icyte Report'!BR:BR)</f>
        <v>0</v>
      </c>
      <c r="BH41" s="10" t="e">
        <f>_xlfn.XLOOKUP(A41,'United Smoothed Indirect Inelig'!A:A,'United Smoothed Indirect Inelig'!B:B)</f>
        <v>#N/A</v>
      </c>
      <c r="BI41" s="10" t="e">
        <f t="shared" si="19"/>
        <v>#N/A</v>
      </c>
      <c r="BJ41" s="10">
        <f>_xlfn.XLOOKUP(A41,'Icyte Report'!A:A,'Icyte Report'!BV:BV)</f>
        <v>0</v>
      </c>
      <c r="BK41" s="10" t="e">
        <f>_xlfn.XLOOKUP(A41,'United Smoothed Indirect Inelig'!A:A,'United Smoothed Indirect Inelig'!P:P)</f>
        <v>#N/A</v>
      </c>
      <c r="BL41" s="10" t="e">
        <f t="shared" si="20"/>
        <v>#N/A</v>
      </c>
      <c r="BM41" s="13">
        <f>_xlfn.XLOOKUP(A41,'Icyte Report'!A:A,'Icyte Report'!BW:BW)</f>
        <v>0</v>
      </c>
      <c r="BN41" s="13" t="e">
        <f>_xlfn.XLOOKUP(A41,'United Smoothed Indirect Inelig'!A:A,'United Smoothed Indirect Inelig'!G:G)+_xlfn.XLOOKUP(A41,'United Smoothed Indirect Inelig'!A:A,'United Smoothed Indirect Inelig'!H:H) + _xlfn.XLOOKUP(A41,'United Smoothed Indirect Inelig'!A:A,'United Smoothed Indirect Inelig'!I:I)+_xlfn.XLOOKUP(A41,'United Smoothed Indirect Inelig'!A:A,'United Smoothed Indirect Inelig'!J:J)</f>
        <v>#N/A</v>
      </c>
      <c r="BO41" s="18" t="e">
        <f t="shared" si="21"/>
        <v>#N/A</v>
      </c>
      <c r="BP41" s="10">
        <f>_xlfn.XLOOKUP(A41,'Icyte Report'!A:A,'Icyte Report'!BY:BY)</f>
        <v>0</v>
      </c>
      <c r="BQ41" s="10" t="e">
        <f>_xlfn.XLOOKUP(A41,'United Smoothed Indirect Inelig'!A:A,'United Smoothed Indirect Inelig'!L:L)+_xlfn.XLOOKUP(A41,'United Smoothed Indirect Inelig'!A:A,'United Smoothed Indirect Inelig'!M:M) + _xlfn.XLOOKUP(A41,'United Smoothed Indirect Inelig'!A:A,'United Smoothed Indirect Inelig'!N:N)+_xlfn.XLOOKUP(A41,'United Smoothed Indirect Inelig'!A:A,'United Smoothed Indirect Inelig'!O:O)</f>
        <v>#N/A</v>
      </c>
      <c r="BR41" s="10" t="e">
        <f t="shared" si="22"/>
        <v>#N/A</v>
      </c>
      <c r="BS41" s="10">
        <f>_xlfn.XLOOKUP(A41,'Icyte Report'!A:A,'Icyte Report'!BZ:BZ)</f>
        <v>0</v>
      </c>
      <c r="BT41" s="10" t="str">
        <f>_xlfn.XLOOKUP(A41,'United MAMP All Components'!A:A,'United MAMP All Components'!AL:AL)</f>
        <v>0.00</v>
      </c>
      <c r="BU41" s="10">
        <f t="shared" si="23"/>
        <v>0</v>
      </c>
      <c r="BV41" s="26">
        <f>_xlfn.XLOOKUP(A41,'Icyte Report'!A:A,'Icyte Report'!CA:CA)</f>
        <v>0</v>
      </c>
      <c r="BW41" s="22" t="str">
        <f>_xlfn.XLOOKUP(A41,'United MAMP All Components'!A:A,'United MAMP All Components'!AM:AM)</f>
        <v>0.00</v>
      </c>
      <c r="BX41" s="10">
        <f t="shared" si="24"/>
        <v>0</v>
      </c>
      <c r="BY41" s="10">
        <f>_xlfn.XLOOKUP(A41,'Icyte Report'!A:A,'Icyte Report'!CD:CD)</f>
        <v>0</v>
      </c>
      <c r="BZ41" s="10" t="str">
        <f>_xlfn.XLOOKUP(A41,'United_Smoothed Price Concessio'!A:A,'United_Smoothed Price Concessio'!D:D)</f>
        <v>$0.00</v>
      </c>
      <c r="CA41" s="10">
        <f t="shared" si="25"/>
        <v>0</v>
      </c>
      <c r="CB41" s="10">
        <f>_xlfn.XLOOKUP(A41,'Icyte Report'!A:A,'Icyte Report'!CF:CF)</f>
        <v>0</v>
      </c>
      <c r="CC41" s="10" t="e">
        <f>_xlfn.XLOOKUP(A41,'United Smoothed Indirect Inelig'!A:A,'United Smoothed Indirect Inelig'!F:F)</f>
        <v>#N/A</v>
      </c>
      <c r="CD41" s="10" t="e">
        <f t="shared" si="26"/>
        <v>#N/A</v>
      </c>
      <c r="CE41" s="10">
        <f>_xlfn.XLOOKUP(A41,'Icyte Report'!A:A,'Icyte Report'!CL:CL)</f>
        <v>0</v>
      </c>
      <c r="CF41" s="10" t="str">
        <f>_xlfn.XLOOKUP(A41,'United_Smoothed Price Concessio'!A:A,'United_Smoothed Price Concessio'!H:H)</f>
        <v>$0.00</v>
      </c>
      <c r="CG41" s="10">
        <f t="shared" si="27"/>
        <v>0</v>
      </c>
      <c r="CH41" s="10">
        <f>_xlfn.XLOOKUP(A41,'Icyte Report'!A:A,'Icyte Report'!CY:CY)</f>
        <v>0</v>
      </c>
      <c r="CI41" s="10" t="str">
        <f>_xlfn.XLOOKUP(A41,'United_Smoothed Price Concessio'!A:A,'United_Smoothed Price Concessio'!C:C)</f>
        <v>$0.00</v>
      </c>
      <c r="CJ41" s="10">
        <f t="shared" si="28"/>
        <v>0</v>
      </c>
      <c r="CK41" s="10">
        <f>_xlfn.XLOOKUP(A41,'Icyte Report'!A:A,'Icyte Report'!CZ:CZ)</f>
        <v>0</v>
      </c>
      <c r="CL41" s="10" t="str">
        <f>_xlfn.XLOOKUP(A41,'United_Smoothed Price Concessio'!A:A,'United_Smoothed Price Concessio'!G:G)</f>
        <v>$0.00</v>
      </c>
      <c r="CM41" s="10">
        <f t="shared" si="29"/>
        <v>0</v>
      </c>
      <c r="CN41" s="13">
        <f>_xlfn.XLOOKUP(A41,'Icyte Report'!A:A,'Icyte Report'!DA:DA)</f>
        <v>0</v>
      </c>
      <c r="CO41" s="13" t="str">
        <f>_xlfn.XLOOKUP(A41,'United_Smoothed Price Concessio'!A:A,'United_Smoothed Price Concessio'!I:I)</f>
        <v>0.000000%</v>
      </c>
      <c r="CP41" s="10">
        <f t="shared" si="30"/>
        <v>0</v>
      </c>
      <c r="CQ41" s="10">
        <f>_xlfn.XLOOKUP(A41,'Icyte Report'!A:A,'Icyte Report'!DB:DB)</f>
        <v>0</v>
      </c>
      <c r="CR41" s="10" t="str">
        <f>_xlfn.XLOOKUP(A41,'United MAMP All Components'!A:A,'United MAMP All Components'!AX:AX)</f>
        <v>0.00</v>
      </c>
      <c r="CS41" s="10">
        <f t="shared" si="31"/>
        <v>0</v>
      </c>
      <c r="CT41" s="10">
        <f>_xlfn.XLOOKUP(A41,'Icyte Report'!A:A,'Icyte Report'!DC:DC)</f>
        <v>0</v>
      </c>
      <c r="CU41" s="10" t="str">
        <f>_xlfn.XLOOKUP(A41,'United MAMP All Components'!A:A,'United MAMP All Components'!BA:BA)</f>
        <v>0.00</v>
      </c>
      <c r="CV41" s="10">
        <f t="shared" si="32"/>
        <v>0</v>
      </c>
      <c r="CW41" s="10">
        <f>_xlfn.XLOOKUP(A41,'Icyte Report'!A:A,'Icyte Report'!DD:DD)</f>
        <v>0</v>
      </c>
      <c r="CX41" s="10" t="str">
        <f>_xlfn.XLOOKUP(A41,'United MAMP All Components'!A:A,'United MAMP All Components'!BD:BD)</f>
        <v>0.00</v>
      </c>
      <c r="CY41" s="10">
        <f t="shared" si="33"/>
        <v>0</v>
      </c>
      <c r="CZ41" s="10">
        <f>_xlfn.XLOOKUP(A41,'Icyte Report'!A:A,'Icyte Report'!DE:DE)</f>
        <v>0</v>
      </c>
      <c r="DA41" s="10" t="str">
        <f>_xlfn.XLOOKUP(A41,'United MAMP All Components'!A:A,'United MAMP All Components'!BE:BE)</f>
        <v>0.00</v>
      </c>
      <c r="DB41" s="10">
        <f t="shared" si="34"/>
        <v>0</v>
      </c>
      <c r="DC41" s="10">
        <f>_xlfn.XLOOKUP(A41,'Icyte Report'!A:A,'Icyte Report'!DI:DI)</f>
        <v>9.9999999999999995E-7</v>
      </c>
      <c r="DD41" s="10" t="str">
        <f>_xlfn.XLOOKUP(A41,'United MAMP All Components'!A:A,'United MAMP All Components'!BG:BG)</f>
        <v>0.000001</v>
      </c>
      <c r="DE41" s="10">
        <f t="shared" si="35"/>
        <v>0</v>
      </c>
    </row>
    <row r="42" spans="1:109" x14ac:dyDescent="0.35">
      <c r="A42" s="10" t="s">
        <v>182</v>
      </c>
      <c r="B42" s="10" t="s">
        <v>453</v>
      </c>
      <c r="C42" s="10">
        <f>_xlfn.XLOOKUP(A42,'Icyte Report'!A:A,'Icyte Report'!W:W)</f>
        <v>0</v>
      </c>
      <c r="D42" s="10" t="str">
        <f>_xlfn.XLOOKUP(A42,'United MAMP All Components'!A:A,'United MAMP All Components'!B:B)</f>
        <v>0.00</v>
      </c>
      <c r="E42" s="10">
        <f t="shared" si="0"/>
        <v>0</v>
      </c>
      <c r="F42" s="10">
        <f>_xlfn.XLOOKUP(A42,'Icyte Report'!A:A,'Icyte Report'!X:X)</f>
        <v>0</v>
      </c>
      <c r="G42" s="10" t="str">
        <f>_xlfn.XLOOKUP(A42,'United MAMP All Components'!A:A,'United MAMP All Components'!C:C)</f>
        <v>0.00</v>
      </c>
      <c r="H42" s="10">
        <f t="shared" si="1"/>
        <v>0</v>
      </c>
      <c r="I42" s="10">
        <f>_xlfn.XLOOKUP(A42,'Icyte Report'!A:A,'Icyte Report'!Y:Y)</f>
        <v>0</v>
      </c>
      <c r="J42" s="10" t="str">
        <f>_xlfn.XLOOKUP(A42,'United MAMP All Components'!A:A,'United MAMP All Components'!E:E)</f>
        <v>0.00</v>
      </c>
      <c r="K42" s="10">
        <f t="shared" si="2"/>
        <v>0</v>
      </c>
      <c r="L42" s="10">
        <f>_xlfn.XLOOKUP(A42,'Icyte Report'!A:A,'Icyte Report'!Z:Z)</f>
        <v>0</v>
      </c>
      <c r="M42" s="10" t="str">
        <f>_xlfn.XLOOKUP(A42,'United MAMP All Components'!A:A,'United MAMP All Components'!F:F)</f>
        <v>0.00</v>
      </c>
      <c r="N42" s="10">
        <f t="shared" si="3"/>
        <v>0</v>
      </c>
      <c r="O42" s="10">
        <f>_xlfn.XLOOKUP(A42,'Icyte Report'!A:A,'Icyte Report'!AA:AA)</f>
        <v>0</v>
      </c>
      <c r="P42" s="10" t="str">
        <f>_xlfn.XLOOKUP(A42,'United MAMP All Components'!A:A,'United MAMP All Components'!H:H)</f>
        <v>0.00</v>
      </c>
      <c r="Q42" s="10">
        <f t="shared" si="4"/>
        <v>0</v>
      </c>
      <c r="R42" s="10">
        <f>_xlfn.XLOOKUP(A42,'Icyte Report'!A:A,'Icyte Report'!AB:AB)</f>
        <v>0</v>
      </c>
      <c r="S42" s="10" t="str">
        <f>_xlfn.XLOOKUP(A42,'United MAMP All Components'!A:A,'United MAMP All Components'!I:I)</f>
        <v>0.00</v>
      </c>
      <c r="T42" s="10">
        <f t="shared" si="5"/>
        <v>0</v>
      </c>
      <c r="U42" s="10">
        <f>_xlfn.XLOOKUP(A42,'Icyte Report'!A:A,'Icyte Report'!AC:AC)</f>
        <v>0</v>
      </c>
      <c r="V42" s="10" t="str">
        <f>_xlfn.XLOOKUP(A42,'United MAMP All Components'!A:A,'United MAMP All Components'!K:K)</f>
        <v>0.00</v>
      </c>
      <c r="W42" s="10">
        <f t="shared" si="6"/>
        <v>0</v>
      </c>
      <c r="X42" s="10">
        <f>_xlfn.XLOOKUP(A42,'Icyte Report'!A:A,'Icyte Report'!AD:AD)</f>
        <v>0</v>
      </c>
      <c r="Y42" s="10" t="str">
        <f>_xlfn.XLOOKUP(A42,'United MAMP All Components'!A:A,'United MAMP All Components'!L:L)</f>
        <v>0.00</v>
      </c>
      <c r="Z42" s="10">
        <f t="shared" si="7"/>
        <v>0</v>
      </c>
      <c r="AA42" s="10">
        <f>_xlfn.XLOOKUP(A42,'Icyte Report'!A:A,'Icyte Report'!AE:AE)</f>
        <v>0</v>
      </c>
      <c r="AB42" s="10" t="str">
        <f>_xlfn.XLOOKUP(A42,'United MAMP All Components'!A:A,'United MAMP All Components'!N:N)</f>
        <v>0.00</v>
      </c>
      <c r="AC42" s="10">
        <f t="shared" si="8"/>
        <v>0</v>
      </c>
      <c r="AD42" s="10">
        <f>_xlfn.XLOOKUP(A42,'Icyte Report'!A:A,'Icyte Report'!AF:AF)</f>
        <v>0</v>
      </c>
      <c r="AE42" s="10" t="str">
        <f>_xlfn.XLOOKUP(A42,'United MAMP All Components'!A:A,'United MAMP All Components'!O:O)</f>
        <v>0.00</v>
      </c>
      <c r="AF42" s="10">
        <f t="shared" si="9"/>
        <v>0</v>
      </c>
      <c r="AG42" s="10">
        <f>_xlfn.XLOOKUP(A42,'Icyte Report'!A:A,'Icyte Report'!AG:AG)</f>
        <v>0</v>
      </c>
      <c r="AH42" s="10" t="str">
        <f>_xlfn.XLOOKUP(A42,'United MAMP All Components'!A:A,'United MAMP All Components'!Q:Q)</f>
        <v>0.00</v>
      </c>
      <c r="AI42" s="10">
        <f t="shared" si="10"/>
        <v>0</v>
      </c>
      <c r="AJ42" s="10">
        <f>_xlfn.XLOOKUP(A42,'Icyte Report'!A:A,'Icyte Report'!AH:AH)</f>
        <v>0</v>
      </c>
      <c r="AK42" s="10" t="str">
        <f>_xlfn.XLOOKUP(A42,'United MAMP All Components'!A:A,'United MAMP All Components'!R:R)</f>
        <v>0.00</v>
      </c>
      <c r="AL42" s="10">
        <f t="shared" si="11"/>
        <v>0</v>
      </c>
      <c r="AM42" s="10">
        <f>_xlfn.XLOOKUP(A42,'Icyte Report'!A:A,'Icyte Report'!AS:AS)</f>
        <v>0</v>
      </c>
      <c r="AN42" s="10" t="str">
        <f>_xlfn.XLOOKUP(A42,'United MAMP All Components'!A:A,'United MAMP All Components'!T:T)</f>
        <v>0.00</v>
      </c>
      <c r="AO42" s="10">
        <f t="shared" si="12"/>
        <v>0</v>
      </c>
      <c r="AP42" s="10">
        <f>_xlfn.XLOOKUP(A42,'Icyte Report'!A:A,'Icyte Report'!AT:AT)</f>
        <v>0</v>
      </c>
      <c r="AQ42" s="10" t="str">
        <f>_xlfn.XLOOKUP(A42,'United MAMP All Components'!A:A,'United MAMP All Components'!U:U)</f>
        <v>0.00</v>
      </c>
      <c r="AR42" s="10">
        <f t="shared" si="13"/>
        <v>0</v>
      </c>
      <c r="AS42" s="10">
        <f>_xlfn.XLOOKUP(A42,'Icyte Report'!A:A,'Icyte Report'!AU:AU)</f>
        <v>0</v>
      </c>
      <c r="AT42" s="10" t="str">
        <f>_xlfn.XLOOKUP(A42,'United MAMP All Components'!A:A,'United MAMP All Components'!AO:AO)</f>
        <v>0.00</v>
      </c>
      <c r="AU42" s="10">
        <f t="shared" si="14"/>
        <v>0</v>
      </c>
      <c r="AV42" s="10">
        <f>_xlfn.XLOOKUP(A42,'Icyte Report'!A:A,'Icyte Report'!AV:AV)</f>
        <v>0</v>
      </c>
      <c r="AW42" s="10" t="str">
        <f>_xlfn.XLOOKUP(A42,'United MAMP All Components'!A:A,'United MAMP All Components'!AP:AP)</f>
        <v>0.00</v>
      </c>
      <c r="AX42" s="10">
        <f t="shared" si="15"/>
        <v>0</v>
      </c>
      <c r="AY42" s="10">
        <f>_xlfn.XLOOKUP(A42,'Icyte Report'!A:A,'Icyte Report'!BH:BH)</f>
        <v>0</v>
      </c>
      <c r="AZ42" s="10" t="e">
        <f>_xlfn.XLOOKUP(A42,'United Smoothed Indirect Inelig'!A:A,'United Smoothed Indirect Inelig'!D:D)</f>
        <v>#N/A</v>
      </c>
      <c r="BA42" s="10" t="e">
        <f t="shared" si="16"/>
        <v>#N/A</v>
      </c>
      <c r="BB42" s="10">
        <f>_xlfn.XLOOKUP(A42,'Icyte Report'!A:A,'Icyte Report'!BK:BK)</f>
        <v>0</v>
      </c>
      <c r="BC42" s="10" t="e">
        <f t="shared" si="17"/>
        <v>#N/A</v>
      </c>
      <c r="BD42" s="10">
        <f>_xlfn.XLOOKUP(A42,'Icyte Report'!A:A,'Icyte Report'!BN:BN)</f>
        <v>0</v>
      </c>
      <c r="BE42" s="10" t="e">
        <f>_xlfn.XLOOKUP(A42,'United Smoothed Indirect Inelig'!A:A,'United Smoothed Indirect Inelig'!C:C)</f>
        <v>#N/A</v>
      </c>
      <c r="BF42" s="10" t="e">
        <f t="shared" si="18"/>
        <v>#N/A</v>
      </c>
      <c r="BG42" s="10">
        <f>_xlfn.XLOOKUP(A42,'Icyte Report'!A:A,'Icyte Report'!BR:BR)</f>
        <v>0</v>
      </c>
      <c r="BH42" s="10" t="e">
        <f>_xlfn.XLOOKUP(A42,'United Smoothed Indirect Inelig'!A:A,'United Smoothed Indirect Inelig'!B:B)</f>
        <v>#N/A</v>
      </c>
      <c r="BI42" s="10" t="e">
        <f t="shared" si="19"/>
        <v>#N/A</v>
      </c>
      <c r="BJ42" s="10">
        <f>_xlfn.XLOOKUP(A42,'Icyte Report'!A:A,'Icyte Report'!BV:BV)</f>
        <v>0</v>
      </c>
      <c r="BK42" s="10" t="e">
        <f>_xlfn.XLOOKUP(A42,'United Smoothed Indirect Inelig'!A:A,'United Smoothed Indirect Inelig'!P:P)</f>
        <v>#N/A</v>
      </c>
      <c r="BL42" s="10" t="e">
        <f t="shared" si="20"/>
        <v>#N/A</v>
      </c>
      <c r="BM42" s="13">
        <f>_xlfn.XLOOKUP(A42,'Icyte Report'!A:A,'Icyte Report'!BW:BW)</f>
        <v>0</v>
      </c>
      <c r="BN42" s="13" t="e">
        <f>_xlfn.XLOOKUP(A42,'United Smoothed Indirect Inelig'!A:A,'United Smoothed Indirect Inelig'!G:G)+_xlfn.XLOOKUP(A42,'United Smoothed Indirect Inelig'!A:A,'United Smoothed Indirect Inelig'!H:H) + _xlfn.XLOOKUP(A42,'United Smoothed Indirect Inelig'!A:A,'United Smoothed Indirect Inelig'!I:I)+_xlfn.XLOOKUP(A42,'United Smoothed Indirect Inelig'!A:A,'United Smoothed Indirect Inelig'!J:J)</f>
        <v>#N/A</v>
      </c>
      <c r="BO42" s="18" t="e">
        <f t="shared" si="21"/>
        <v>#N/A</v>
      </c>
      <c r="BP42" s="10">
        <f>_xlfn.XLOOKUP(A42,'Icyte Report'!A:A,'Icyte Report'!BY:BY)</f>
        <v>0</v>
      </c>
      <c r="BQ42" s="10" t="e">
        <f>_xlfn.XLOOKUP(A42,'United Smoothed Indirect Inelig'!A:A,'United Smoothed Indirect Inelig'!L:L)+_xlfn.XLOOKUP(A42,'United Smoothed Indirect Inelig'!A:A,'United Smoothed Indirect Inelig'!M:M) + _xlfn.XLOOKUP(A42,'United Smoothed Indirect Inelig'!A:A,'United Smoothed Indirect Inelig'!N:N)+_xlfn.XLOOKUP(A42,'United Smoothed Indirect Inelig'!A:A,'United Smoothed Indirect Inelig'!O:O)</f>
        <v>#N/A</v>
      </c>
      <c r="BR42" s="10" t="e">
        <f t="shared" si="22"/>
        <v>#N/A</v>
      </c>
      <c r="BS42" s="10">
        <f>_xlfn.XLOOKUP(A42,'Icyte Report'!A:A,'Icyte Report'!BZ:BZ)</f>
        <v>0</v>
      </c>
      <c r="BT42" s="10" t="str">
        <f>_xlfn.XLOOKUP(A42,'United MAMP All Components'!A:A,'United MAMP All Components'!AL:AL)</f>
        <v>0.00</v>
      </c>
      <c r="BU42" s="10">
        <f t="shared" si="23"/>
        <v>0</v>
      </c>
      <c r="BV42" s="26">
        <f>_xlfn.XLOOKUP(A42,'Icyte Report'!A:A,'Icyte Report'!CA:CA)</f>
        <v>0</v>
      </c>
      <c r="BW42" s="22" t="str">
        <f>_xlfn.XLOOKUP(A42,'United MAMP All Components'!A:A,'United MAMP All Components'!AM:AM)</f>
        <v>0.00</v>
      </c>
      <c r="BX42" s="10">
        <f t="shared" si="24"/>
        <v>0</v>
      </c>
      <c r="BY42" s="10">
        <f>_xlfn.XLOOKUP(A42,'Icyte Report'!A:A,'Icyte Report'!CD:CD)</f>
        <v>0</v>
      </c>
      <c r="BZ42" s="10" t="str">
        <f>_xlfn.XLOOKUP(A42,'United_Smoothed Price Concessio'!A:A,'United_Smoothed Price Concessio'!D:D)</f>
        <v>$0.00</v>
      </c>
      <c r="CA42" s="10">
        <f t="shared" si="25"/>
        <v>0</v>
      </c>
      <c r="CB42" s="10">
        <f>_xlfn.XLOOKUP(A42,'Icyte Report'!A:A,'Icyte Report'!CF:CF)</f>
        <v>0</v>
      </c>
      <c r="CC42" s="10" t="e">
        <f>_xlfn.XLOOKUP(A42,'United Smoothed Indirect Inelig'!A:A,'United Smoothed Indirect Inelig'!F:F)</f>
        <v>#N/A</v>
      </c>
      <c r="CD42" s="10" t="e">
        <f t="shared" si="26"/>
        <v>#N/A</v>
      </c>
      <c r="CE42" s="10">
        <f>_xlfn.XLOOKUP(A42,'Icyte Report'!A:A,'Icyte Report'!CL:CL)</f>
        <v>0</v>
      </c>
      <c r="CF42" s="10" t="str">
        <f>_xlfn.XLOOKUP(A42,'United_Smoothed Price Concessio'!A:A,'United_Smoothed Price Concessio'!H:H)</f>
        <v>$0.00</v>
      </c>
      <c r="CG42" s="10">
        <f t="shared" si="27"/>
        <v>0</v>
      </c>
      <c r="CH42" s="10">
        <f>_xlfn.XLOOKUP(A42,'Icyte Report'!A:A,'Icyte Report'!CY:CY)</f>
        <v>0</v>
      </c>
      <c r="CI42" s="10" t="str">
        <f>_xlfn.XLOOKUP(A42,'United_Smoothed Price Concessio'!A:A,'United_Smoothed Price Concessio'!C:C)</f>
        <v>$0.00</v>
      </c>
      <c r="CJ42" s="10">
        <f t="shared" si="28"/>
        <v>0</v>
      </c>
      <c r="CK42" s="10">
        <f>_xlfn.XLOOKUP(A42,'Icyte Report'!A:A,'Icyte Report'!CZ:CZ)</f>
        <v>0</v>
      </c>
      <c r="CL42" s="10" t="str">
        <f>_xlfn.XLOOKUP(A42,'United_Smoothed Price Concessio'!A:A,'United_Smoothed Price Concessio'!G:G)</f>
        <v>$0.00</v>
      </c>
      <c r="CM42" s="10">
        <f t="shared" si="29"/>
        <v>0</v>
      </c>
      <c r="CN42" s="13">
        <f>_xlfn.XLOOKUP(A42,'Icyte Report'!A:A,'Icyte Report'!DA:DA)</f>
        <v>0</v>
      </c>
      <c r="CO42" s="13" t="str">
        <f>_xlfn.XLOOKUP(A42,'United_Smoothed Price Concessio'!A:A,'United_Smoothed Price Concessio'!I:I)</f>
        <v>0.000000%</v>
      </c>
      <c r="CP42" s="10">
        <f t="shared" si="30"/>
        <v>0</v>
      </c>
      <c r="CQ42" s="10">
        <f>_xlfn.XLOOKUP(A42,'Icyte Report'!A:A,'Icyte Report'!DB:DB)</f>
        <v>0</v>
      </c>
      <c r="CR42" s="10" t="str">
        <f>_xlfn.XLOOKUP(A42,'United MAMP All Components'!A:A,'United MAMP All Components'!AX:AX)</f>
        <v>0.00</v>
      </c>
      <c r="CS42" s="10">
        <f t="shared" si="31"/>
        <v>0</v>
      </c>
      <c r="CT42" s="10">
        <f>_xlfn.XLOOKUP(A42,'Icyte Report'!A:A,'Icyte Report'!DC:DC)</f>
        <v>0</v>
      </c>
      <c r="CU42" s="10" t="str">
        <f>_xlfn.XLOOKUP(A42,'United MAMP All Components'!A:A,'United MAMP All Components'!BA:BA)</f>
        <v>0.00</v>
      </c>
      <c r="CV42" s="10">
        <f t="shared" si="32"/>
        <v>0</v>
      </c>
      <c r="CW42" s="10">
        <f>_xlfn.XLOOKUP(A42,'Icyte Report'!A:A,'Icyte Report'!DD:DD)</f>
        <v>0</v>
      </c>
      <c r="CX42" s="10" t="str">
        <f>_xlfn.XLOOKUP(A42,'United MAMP All Components'!A:A,'United MAMP All Components'!BD:BD)</f>
        <v>0.00</v>
      </c>
      <c r="CY42" s="10">
        <f t="shared" si="33"/>
        <v>0</v>
      </c>
      <c r="CZ42" s="10">
        <f>_xlfn.XLOOKUP(A42,'Icyte Report'!A:A,'Icyte Report'!DE:DE)</f>
        <v>0</v>
      </c>
      <c r="DA42" s="10" t="str">
        <f>_xlfn.XLOOKUP(A42,'United MAMP All Components'!A:A,'United MAMP All Components'!BE:BE)</f>
        <v>0.00</v>
      </c>
      <c r="DB42" s="10">
        <f t="shared" si="34"/>
        <v>0</v>
      </c>
      <c r="DC42" s="10">
        <f>_xlfn.XLOOKUP(A42,'Icyte Report'!A:A,'Icyte Report'!DI:DI)</f>
        <v>9.9999999999999995E-7</v>
      </c>
      <c r="DD42" s="10" t="str">
        <f>_xlfn.XLOOKUP(A42,'United MAMP All Components'!A:A,'United MAMP All Components'!BG:BG)</f>
        <v>0.000001</v>
      </c>
      <c r="DE42" s="10">
        <f t="shared" si="35"/>
        <v>0</v>
      </c>
    </row>
    <row r="43" spans="1:109" x14ac:dyDescent="0.35">
      <c r="A43" s="10" t="s">
        <v>183</v>
      </c>
      <c r="B43" s="10" t="s">
        <v>454</v>
      </c>
      <c r="C43" s="10">
        <f>_xlfn.XLOOKUP(A43,'Icyte Report'!A:A,'Icyte Report'!W:W)</f>
        <v>0</v>
      </c>
      <c r="D43" s="10" t="str">
        <f>_xlfn.XLOOKUP(A43,'United MAMP All Components'!A:A,'United MAMP All Components'!B:B)</f>
        <v>0.00</v>
      </c>
      <c r="E43" s="10">
        <f t="shared" si="0"/>
        <v>0</v>
      </c>
      <c r="F43" s="10">
        <f>_xlfn.XLOOKUP(A43,'Icyte Report'!A:A,'Icyte Report'!X:X)</f>
        <v>0</v>
      </c>
      <c r="G43" s="10" t="str">
        <f>_xlfn.XLOOKUP(A43,'United MAMP All Components'!A:A,'United MAMP All Components'!C:C)</f>
        <v>0.00</v>
      </c>
      <c r="H43" s="10">
        <f t="shared" si="1"/>
        <v>0</v>
      </c>
      <c r="I43" s="10">
        <f>_xlfn.XLOOKUP(A43,'Icyte Report'!A:A,'Icyte Report'!Y:Y)</f>
        <v>0</v>
      </c>
      <c r="J43" s="10" t="str">
        <f>_xlfn.XLOOKUP(A43,'United MAMP All Components'!A:A,'United MAMP All Components'!E:E)</f>
        <v>0.00</v>
      </c>
      <c r="K43" s="10">
        <f t="shared" si="2"/>
        <v>0</v>
      </c>
      <c r="L43" s="10">
        <f>_xlfn.XLOOKUP(A43,'Icyte Report'!A:A,'Icyte Report'!Z:Z)</f>
        <v>0</v>
      </c>
      <c r="M43" s="10" t="str">
        <f>_xlfn.XLOOKUP(A43,'United MAMP All Components'!A:A,'United MAMP All Components'!F:F)</f>
        <v>0.00</v>
      </c>
      <c r="N43" s="10">
        <f t="shared" si="3"/>
        <v>0</v>
      </c>
      <c r="O43" s="10">
        <f>_xlfn.XLOOKUP(A43,'Icyte Report'!A:A,'Icyte Report'!AA:AA)</f>
        <v>0</v>
      </c>
      <c r="P43" s="10" t="str">
        <f>_xlfn.XLOOKUP(A43,'United MAMP All Components'!A:A,'United MAMP All Components'!H:H)</f>
        <v>0.00</v>
      </c>
      <c r="Q43" s="10">
        <f t="shared" si="4"/>
        <v>0</v>
      </c>
      <c r="R43" s="10">
        <f>_xlfn.XLOOKUP(A43,'Icyte Report'!A:A,'Icyte Report'!AB:AB)</f>
        <v>0</v>
      </c>
      <c r="S43" s="10" t="str">
        <f>_xlfn.XLOOKUP(A43,'United MAMP All Components'!A:A,'United MAMP All Components'!I:I)</f>
        <v>0.00</v>
      </c>
      <c r="T43" s="10">
        <f t="shared" si="5"/>
        <v>0</v>
      </c>
      <c r="U43" s="10">
        <f>_xlfn.XLOOKUP(A43,'Icyte Report'!A:A,'Icyte Report'!AC:AC)</f>
        <v>0</v>
      </c>
      <c r="V43" s="10" t="str">
        <f>_xlfn.XLOOKUP(A43,'United MAMP All Components'!A:A,'United MAMP All Components'!K:K)</f>
        <v>0.00</v>
      </c>
      <c r="W43" s="10">
        <f t="shared" si="6"/>
        <v>0</v>
      </c>
      <c r="X43" s="10">
        <f>_xlfn.XLOOKUP(A43,'Icyte Report'!A:A,'Icyte Report'!AD:AD)</f>
        <v>0</v>
      </c>
      <c r="Y43" s="10" t="str">
        <f>_xlfn.XLOOKUP(A43,'United MAMP All Components'!A:A,'United MAMP All Components'!L:L)</f>
        <v>0.00</v>
      </c>
      <c r="Z43" s="10">
        <f t="shared" si="7"/>
        <v>0</v>
      </c>
      <c r="AA43" s="10">
        <f>_xlfn.XLOOKUP(A43,'Icyte Report'!A:A,'Icyte Report'!AE:AE)</f>
        <v>0</v>
      </c>
      <c r="AB43" s="10" t="str">
        <f>_xlfn.XLOOKUP(A43,'United MAMP All Components'!A:A,'United MAMP All Components'!N:N)</f>
        <v>0.00</v>
      </c>
      <c r="AC43" s="10">
        <f t="shared" si="8"/>
        <v>0</v>
      </c>
      <c r="AD43" s="10">
        <f>_xlfn.XLOOKUP(A43,'Icyte Report'!A:A,'Icyte Report'!AF:AF)</f>
        <v>0</v>
      </c>
      <c r="AE43" s="10" t="str">
        <f>_xlfn.XLOOKUP(A43,'United MAMP All Components'!A:A,'United MAMP All Components'!O:O)</f>
        <v>0.00</v>
      </c>
      <c r="AF43" s="10">
        <f t="shared" si="9"/>
        <v>0</v>
      </c>
      <c r="AG43" s="10">
        <f>_xlfn.XLOOKUP(A43,'Icyte Report'!A:A,'Icyte Report'!AG:AG)</f>
        <v>0</v>
      </c>
      <c r="AH43" s="10" t="str">
        <f>_xlfn.XLOOKUP(A43,'United MAMP All Components'!A:A,'United MAMP All Components'!Q:Q)</f>
        <v>0.00</v>
      </c>
      <c r="AI43" s="10">
        <f t="shared" si="10"/>
        <v>0</v>
      </c>
      <c r="AJ43" s="10">
        <f>_xlfn.XLOOKUP(A43,'Icyte Report'!A:A,'Icyte Report'!AH:AH)</f>
        <v>0</v>
      </c>
      <c r="AK43" s="10" t="str">
        <f>_xlfn.XLOOKUP(A43,'United MAMP All Components'!A:A,'United MAMP All Components'!R:R)</f>
        <v>0.00</v>
      </c>
      <c r="AL43" s="10">
        <f t="shared" si="11"/>
        <v>0</v>
      </c>
      <c r="AM43" s="10">
        <f>_xlfn.XLOOKUP(A43,'Icyte Report'!A:A,'Icyte Report'!AS:AS)</f>
        <v>0</v>
      </c>
      <c r="AN43" s="10" t="str">
        <f>_xlfn.XLOOKUP(A43,'United MAMP All Components'!A:A,'United MAMP All Components'!T:T)</f>
        <v>0.00</v>
      </c>
      <c r="AO43" s="10">
        <f t="shared" si="12"/>
        <v>0</v>
      </c>
      <c r="AP43" s="10">
        <f>_xlfn.XLOOKUP(A43,'Icyte Report'!A:A,'Icyte Report'!AT:AT)</f>
        <v>0</v>
      </c>
      <c r="AQ43" s="10" t="str">
        <f>_xlfn.XLOOKUP(A43,'United MAMP All Components'!A:A,'United MAMP All Components'!U:U)</f>
        <v>0.00</v>
      </c>
      <c r="AR43" s="10">
        <f t="shared" si="13"/>
        <v>0</v>
      </c>
      <c r="AS43" s="10">
        <f>_xlfn.XLOOKUP(A43,'Icyte Report'!A:A,'Icyte Report'!AU:AU)</f>
        <v>0</v>
      </c>
      <c r="AT43" s="10" t="str">
        <f>_xlfn.XLOOKUP(A43,'United MAMP All Components'!A:A,'United MAMP All Components'!AO:AO)</f>
        <v>0.00</v>
      </c>
      <c r="AU43" s="10">
        <f t="shared" si="14"/>
        <v>0</v>
      </c>
      <c r="AV43" s="10">
        <f>_xlfn.XLOOKUP(A43,'Icyte Report'!A:A,'Icyte Report'!AV:AV)</f>
        <v>0</v>
      </c>
      <c r="AW43" s="10" t="str">
        <f>_xlfn.XLOOKUP(A43,'United MAMP All Components'!A:A,'United MAMP All Components'!AP:AP)</f>
        <v>0.00</v>
      </c>
      <c r="AX43" s="10">
        <f t="shared" si="15"/>
        <v>0</v>
      </c>
      <c r="AY43" s="10">
        <f>_xlfn.XLOOKUP(A43,'Icyte Report'!A:A,'Icyte Report'!BH:BH)</f>
        <v>0</v>
      </c>
      <c r="AZ43" s="10" t="e">
        <f>_xlfn.XLOOKUP(A43,'United Smoothed Indirect Inelig'!A:A,'United Smoothed Indirect Inelig'!D:D)</f>
        <v>#N/A</v>
      </c>
      <c r="BA43" s="10" t="e">
        <f t="shared" si="16"/>
        <v>#N/A</v>
      </c>
      <c r="BB43" s="10">
        <f>_xlfn.XLOOKUP(A43,'Icyte Report'!A:A,'Icyte Report'!BK:BK)</f>
        <v>0</v>
      </c>
      <c r="BC43" s="10" t="e">
        <f t="shared" si="17"/>
        <v>#N/A</v>
      </c>
      <c r="BD43" s="10">
        <f>_xlfn.XLOOKUP(A43,'Icyte Report'!A:A,'Icyte Report'!BN:BN)</f>
        <v>0</v>
      </c>
      <c r="BE43" s="10" t="e">
        <f>_xlfn.XLOOKUP(A43,'United Smoothed Indirect Inelig'!A:A,'United Smoothed Indirect Inelig'!C:C)</f>
        <v>#N/A</v>
      </c>
      <c r="BF43" s="10" t="e">
        <f t="shared" si="18"/>
        <v>#N/A</v>
      </c>
      <c r="BG43" s="10">
        <f>_xlfn.XLOOKUP(A43,'Icyte Report'!A:A,'Icyte Report'!BR:BR)</f>
        <v>0</v>
      </c>
      <c r="BH43" s="10" t="e">
        <f>_xlfn.XLOOKUP(A43,'United Smoothed Indirect Inelig'!A:A,'United Smoothed Indirect Inelig'!B:B)</f>
        <v>#N/A</v>
      </c>
      <c r="BI43" s="10" t="e">
        <f t="shared" si="19"/>
        <v>#N/A</v>
      </c>
      <c r="BJ43" s="10">
        <f>_xlfn.XLOOKUP(A43,'Icyte Report'!A:A,'Icyte Report'!BV:BV)</f>
        <v>0</v>
      </c>
      <c r="BK43" s="10" t="e">
        <f>_xlfn.XLOOKUP(A43,'United Smoothed Indirect Inelig'!A:A,'United Smoothed Indirect Inelig'!P:P)</f>
        <v>#N/A</v>
      </c>
      <c r="BL43" s="10" t="e">
        <f t="shared" si="20"/>
        <v>#N/A</v>
      </c>
      <c r="BM43" s="13">
        <f>_xlfn.XLOOKUP(A43,'Icyte Report'!A:A,'Icyte Report'!BW:BW)</f>
        <v>0</v>
      </c>
      <c r="BN43" s="13" t="e">
        <f>_xlfn.XLOOKUP(A43,'United Smoothed Indirect Inelig'!A:A,'United Smoothed Indirect Inelig'!G:G)+_xlfn.XLOOKUP(A43,'United Smoothed Indirect Inelig'!A:A,'United Smoothed Indirect Inelig'!H:H) + _xlfn.XLOOKUP(A43,'United Smoothed Indirect Inelig'!A:A,'United Smoothed Indirect Inelig'!I:I)+_xlfn.XLOOKUP(A43,'United Smoothed Indirect Inelig'!A:A,'United Smoothed Indirect Inelig'!J:J)</f>
        <v>#N/A</v>
      </c>
      <c r="BO43" s="18" t="e">
        <f t="shared" si="21"/>
        <v>#N/A</v>
      </c>
      <c r="BP43" s="10">
        <f>_xlfn.XLOOKUP(A43,'Icyte Report'!A:A,'Icyte Report'!BY:BY)</f>
        <v>0</v>
      </c>
      <c r="BQ43" s="10" t="e">
        <f>_xlfn.XLOOKUP(A43,'United Smoothed Indirect Inelig'!A:A,'United Smoothed Indirect Inelig'!L:L)+_xlfn.XLOOKUP(A43,'United Smoothed Indirect Inelig'!A:A,'United Smoothed Indirect Inelig'!M:M) + _xlfn.XLOOKUP(A43,'United Smoothed Indirect Inelig'!A:A,'United Smoothed Indirect Inelig'!N:N)+_xlfn.XLOOKUP(A43,'United Smoothed Indirect Inelig'!A:A,'United Smoothed Indirect Inelig'!O:O)</f>
        <v>#N/A</v>
      </c>
      <c r="BR43" s="10" t="e">
        <f t="shared" si="22"/>
        <v>#N/A</v>
      </c>
      <c r="BS43" s="10">
        <f>_xlfn.XLOOKUP(A43,'Icyte Report'!A:A,'Icyte Report'!BZ:BZ)</f>
        <v>0</v>
      </c>
      <c r="BT43" s="10" t="str">
        <f>_xlfn.XLOOKUP(A43,'United MAMP All Components'!A:A,'United MAMP All Components'!AL:AL)</f>
        <v>0.00</v>
      </c>
      <c r="BU43" s="10">
        <f t="shared" si="23"/>
        <v>0</v>
      </c>
      <c r="BV43" s="26">
        <f>_xlfn.XLOOKUP(A43,'Icyte Report'!A:A,'Icyte Report'!CA:CA)</f>
        <v>0</v>
      </c>
      <c r="BW43" s="22" t="str">
        <f>_xlfn.XLOOKUP(A43,'United MAMP All Components'!A:A,'United MAMP All Components'!AM:AM)</f>
        <v>0.00</v>
      </c>
      <c r="BX43" s="10">
        <f t="shared" si="24"/>
        <v>0</v>
      </c>
      <c r="BY43" s="10">
        <f>_xlfn.XLOOKUP(A43,'Icyte Report'!A:A,'Icyte Report'!CD:CD)</f>
        <v>0</v>
      </c>
      <c r="BZ43" s="10" t="str">
        <f>_xlfn.XLOOKUP(A43,'United_Smoothed Price Concessio'!A:A,'United_Smoothed Price Concessio'!D:D)</f>
        <v>$0.00</v>
      </c>
      <c r="CA43" s="10">
        <f t="shared" si="25"/>
        <v>0</v>
      </c>
      <c r="CB43" s="10">
        <f>_xlfn.XLOOKUP(A43,'Icyte Report'!A:A,'Icyte Report'!CF:CF)</f>
        <v>0</v>
      </c>
      <c r="CC43" s="10" t="e">
        <f>_xlfn.XLOOKUP(A43,'United Smoothed Indirect Inelig'!A:A,'United Smoothed Indirect Inelig'!F:F)</f>
        <v>#N/A</v>
      </c>
      <c r="CD43" s="10" t="e">
        <f t="shared" si="26"/>
        <v>#N/A</v>
      </c>
      <c r="CE43" s="10">
        <f>_xlfn.XLOOKUP(A43,'Icyte Report'!A:A,'Icyte Report'!CL:CL)</f>
        <v>0</v>
      </c>
      <c r="CF43" s="10" t="str">
        <f>_xlfn.XLOOKUP(A43,'United_Smoothed Price Concessio'!A:A,'United_Smoothed Price Concessio'!H:H)</f>
        <v>$0.00</v>
      </c>
      <c r="CG43" s="10">
        <f t="shared" si="27"/>
        <v>0</v>
      </c>
      <c r="CH43" s="10">
        <f>_xlfn.XLOOKUP(A43,'Icyte Report'!A:A,'Icyte Report'!CY:CY)</f>
        <v>0</v>
      </c>
      <c r="CI43" s="10" t="str">
        <f>_xlfn.XLOOKUP(A43,'United_Smoothed Price Concessio'!A:A,'United_Smoothed Price Concessio'!C:C)</f>
        <v>$0.00</v>
      </c>
      <c r="CJ43" s="10">
        <f t="shared" si="28"/>
        <v>0</v>
      </c>
      <c r="CK43" s="10">
        <f>_xlfn.XLOOKUP(A43,'Icyte Report'!A:A,'Icyte Report'!CZ:CZ)</f>
        <v>0</v>
      </c>
      <c r="CL43" s="10" t="str">
        <f>_xlfn.XLOOKUP(A43,'United_Smoothed Price Concessio'!A:A,'United_Smoothed Price Concessio'!G:G)</f>
        <v>$0.00</v>
      </c>
      <c r="CM43" s="10">
        <f t="shared" si="29"/>
        <v>0</v>
      </c>
      <c r="CN43" s="13">
        <f>_xlfn.XLOOKUP(A43,'Icyte Report'!A:A,'Icyte Report'!DA:DA)</f>
        <v>0</v>
      </c>
      <c r="CO43" s="13" t="str">
        <f>_xlfn.XLOOKUP(A43,'United_Smoothed Price Concessio'!A:A,'United_Smoothed Price Concessio'!I:I)</f>
        <v>0.000000%</v>
      </c>
      <c r="CP43" s="10">
        <f t="shared" si="30"/>
        <v>0</v>
      </c>
      <c r="CQ43" s="10">
        <f>_xlfn.XLOOKUP(A43,'Icyte Report'!A:A,'Icyte Report'!DB:DB)</f>
        <v>0</v>
      </c>
      <c r="CR43" s="10" t="str">
        <f>_xlfn.XLOOKUP(A43,'United MAMP All Components'!A:A,'United MAMP All Components'!AX:AX)</f>
        <v>0.00</v>
      </c>
      <c r="CS43" s="10">
        <f t="shared" si="31"/>
        <v>0</v>
      </c>
      <c r="CT43" s="10">
        <f>_xlfn.XLOOKUP(A43,'Icyte Report'!A:A,'Icyte Report'!DC:DC)</f>
        <v>0</v>
      </c>
      <c r="CU43" s="10" t="str">
        <f>_xlfn.XLOOKUP(A43,'United MAMP All Components'!A:A,'United MAMP All Components'!BA:BA)</f>
        <v>0.00</v>
      </c>
      <c r="CV43" s="10">
        <f t="shared" si="32"/>
        <v>0</v>
      </c>
      <c r="CW43" s="10">
        <f>_xlfn.XLOOKUP(A43,'Icyte Report'!A:A,'Icyte Report'!DD:DD)</f>
        <v>0</v>
      </c>
      <c r="CX43" s="10" t="str">
        <f>_xlfn.XLOOKUP(A43,'United MAMP All Components'!A:A,'United MAMP All Components'!BD:BD)</f>
        <v>0.00</v>
      </c>
      <c r="CY43" s="10">
        <f t="shared" si="33"/>
        <v>0</v>
      </c>
      <c r="CZ43" s="10">
        <f>_xlfn.XLOOKUP(A43,'Icyte Report'!A:A,'Icyte Report'!DE:DE)</f>
        <v>0</v>
      </c>
      <c r="DA43" s="10" t="str">
        <f>_xlfn.XLOOKUP(A43,'United MAMP All Components'!A:A,'United MAMP All Components'!BE:BE)</f>
        <v>0.00</v>
      </c>
      <c r="DB43" s="10">
        <f t="shared" si="34"/>
        <v>0</v>
      </c>
      <c r="DC43" s="10">
        <f>_xlfn.XLOOKUP(A43,'Icyte Report'!A:A,'Icyte Report'!DI:DI)</f>
        <v>9.9999999999999995E-7</v>
      </c>
      <c r="DD43" s="10" t="str">
        <f>_xlfn.XLOOKUP(A43,'United MAMP All Components'!A:A,'United MAMP All Components'!BG:BG)</f>
        <v>0.000001</v>
      </c>
      <c r="DE43" s="10">
        <f t="shared" si="35"/>
        <v>0</v>
      </c>
    </row>
    <row r="44" spans="1:109" x14ac:dyDescent="0.35">
      <c r="A44" s="10" t="s">
        <v>184</v>
      </c>
      <c r="B44" s="10" t="s">
        <v>455</v>
      </c>
      <c r="C44" s="10">
        <f>_xlfn.XLOOKUP(A44,'Icyte Report'!A:A,'Icyte Report'!W:W)</f>
        <v>0</v>
      </c>
      <c r="D44" s="10" t="str">
        <f>_xlfn.XLOOKUP(A44,'United MAMP All Components'!A:A,'United MAMP All Components'!B:B)</f>
        <v>0.00</v>
      </c>
      <c r="E44" s="10">
        <f t="shared" si="0"/>
        <v>0</v>
      </c>
      <c r="F44" s="10">
        <f>_xlfn.XLOOKUP(A44,'Icyte Report'!A:A,'Icyte Report'!X:X)</f>
        <v>0</v>
      </c>
      <c r="G44" s="10" t="str">
        <f>_xlfn.XLOOKUP(A44,'United MAMP All Components'!A:A,'United MAMP All Components'!C:C)</f>
        <v>0.00</v>
      </c>
      <c r="H44" s="10">
        <f t="shared" si="1"/>
        <v>0</v>
      </c>
      <c r="I44" s="10">
        <f>_xlfn.XLOOKUP(A44,'Icyte Report'!A:A,'Icyte Report'!Y:Y)</f>
        <v>0</v>
      </c>
      <c r="J44" s="10" t="str">
        <f>_xlfn.XLOOKUP(A44,'United MAMP All Components'!A:A,'United MAMP All Components'!E:E)</f>
        <v>0.00</v>
      </c>
      <c r="K44" s="10">
        <f t="shared" si="2"/>
        <v>0</v>
      </c>
      <c r="L44" s="10">
        <f>_xlfn.XLOOKUP(A44,'Icyte Report'!A:A,'Icyte Report'!Z:Z)</f>
        <v>0</v>
      </c>
      <c r="M44" s="10" t="str">
        <f>_xlfn.XLOOKUP(A44,'United MAMP All Components'!A:A,'United MAMP All Components'!F:F)</f>
        <v>0.00</v>
      </c>
      <c r="N44" s="10">
        <f t="shared" si="3"/>
        <v>0</v>
      </c>
      <c r="O44" s="10">
        <f>_xlfn.XLOOKUP(A44,'Icyte Report'!A:A,'Icyte Report'!AA:AA)</f>
        <v>0</v>
      </c>
      <c r="P44" s="10" t="str">
        <f>_xlfn.XLOOKUP(A44,'United MAMP All Components'!A:A,'United MAMP All Components'!H:H)</f>
        <v>0.00</v>
      </c>
      <c r="Q44" s="10">
        <f t="shared" si="4"/>
        <v>0</v>
      </c>
      <c r="R44" s="10">
        <f>_xlfn.XLOOKUP(A44,'Icyte Report'!A:A,'Icyte Report'!AB:AB)</f>
        <v>0</v>
      </c>
      <c r="S44" s="10" t="str">
        <f>_xlfn.XLOOKUP(A44,'United MAMP All Components'!A:A,'United MAMP All Components'!I:I)</f>
        <v>0.00</v>
      </c>
      <c r="T44" s="10">
        <f t="shared" si="5"/>
        <v>0</v>
      </c>
      <c r="U44" s="10">
        <f>_xlfn.XLOOKUP(A44,'Icyte Report'!A:A,'Icyte Report'!AC:AC)</f>
        <v>0</v>
      </c>
      <c r="V44" s="10" t="str">
        <f>_xlfn.XLOOKUP(A44,'United MAMP All Components'!A:A,'United MAMP All Components'!K:K)</f>
        <v>0.00</v>
      </c>
      <c r="W44" s="10">
        <f t="shared" si="6"/>
        <v>0</v>
      </c>
      <c r="X44" s="10">
        <f>_xlfn.XLOOKUP(A44,'Icyte Report'!A:A,'Icyte Report'!AD:AD)</f>
        <v>0</v>
      </c>
      <c r="Y44" s="10" t="str">
        <f>_xlfn.XLOOKUP(A44,'United MAMP All Components'!A:A,'United MAMP All Components'!L:L)</f>
        <v>0.00</v>
      </c>
      <c r="Z44" s="10">
        <f t="shared" si="7"/>
        <v>0</v>
      </c>
      <c r="AA44" s="10">
        <f>_xlfn.XLOOKUP(A44,'Icyte Report'!A:A,'Icyte Report'!AE:AE)</f>
        <v>0</v>
      </c>
      <c r="AB44" s="10" t="str">
        <f>_xlfn.XLOOKUP(A44,'United MAMP All Components'!A:A,'United MAMP All Components'!N:N)</f>
        <v>0.00</v>
      </c>
      <c r="AC44" s="10">
        <f t="shared" si="8"/>
        <v>0</v>
      </c>
      <c r="AD44" s="10">
        <f>_xlfn.XLOOKUP(A44,'Icyte Report'!A:A,'Icyte Report'!AF:AF)</f>
        <v>0</v>
      </c>
      <c r="AE44" s="10" t="str">
        <f>_xlfn.XLOOKUP(A44,'United MAMP All Components'!A:A,'United MAMP All Components'!O:O)</f>
        <v>0.00</v>
      </c>
      <c r="AF44" s="10">
        <f t="shared" si="9"/>
        <v>0</v>
      </c>
      <c r="AG44" s="10">
        <f>_xlfn.XLOOKUP(A44,'Icyte Report'!A:A,'Icyte Report'!AG:AG)</f>
        <v>0</v>
      </c>
      <c r="AH44" s="10" t="str">
        <f>_xlfn.XLOOKUP(A44,'United MAMP All Components'!A:A,'United MAMP All Components'!Q:Q)</f>
        <v>0.00</v>
      </c>
      <c r="AI44" s="10">
        <f t="shared" si="10"/>
        <v>0</v>
      </c>
      <c r="AJ44" s="10">
        <f>_xlfn.XLOOKUP(A44,'Icyte Report'!A:A,'Icyte Report'!AH:AH)</f>
        <v>0</v>
      </c>
      <c r="AK44" s="10" t="str">
        <f>_xlfn.XLOOKUP(A44,'United MAMP All Components'!A:A,'United MAMP All Components'!R:R)</f>
        <v>0.00</v>
      </c>
      <c r="AL44" s="10">
        <f t="shared" si="11"/>
        <v>0</v>
      </c>
      <c r="AM44" s="10">
        <f>_xlfn.XLOOKUP(A44,'Icyte Report'!A:A,'Icyte Report'!AS:AS)</f>
        <v>0</v>
      </c>
      <c r="AN44" s="10" t="str">
        <f>_xlfn.XLOOKUP(A44,'United MAMP All Components'!A:A,'United MAMP All Components'!T:T)</f>
        <v>0.00</v>
      </c>
      <c r="AO44" s="10">
        <f t="shared" si="12"/>
        <v>0</v>
      </c>
      <c r="AP44" s="10">
        <f>_xlfn.XLOOKUP(A44,'Icyte Report'!A:A,'Icyte Report'!AT:AT)</f>
        <v>0</v>
      </c>
      <c r="AQ44" s="10" t="str">
        <f>_xlfn.XLOOKUP(A44,'United MAMP All Components'!A:A,'United MAMP All Components'!U:U)</f>
        <v>0.00</v>
      </c>
      <c r="AR44" s="10">
        <f t="shared" si="13"/>
        <v>0</v>
      </c>
      <c r="AS44" s="10">
        <f>_xlfn.XLOOKUP(A44,'Icyte Report'!A:A,'Icyte Report'!AU:AU)</f>
        <v>0</v>
      </c>
      <c r="AT44" s="10" t="str">
        <f>_xlfn.XLOOKUP(A44,'United MAMP All Components'!A:A,'United MAMP All Components'!AO:AO)</f>
        <v>0.00</v>
      </c>
      <c r="AU44" s="10">
        <f t="shared" si="14"/>
        <v>0</v>
      </c>
      <c r="AV44" s="10">
        <f>_xlfn.XLOOKUP(A44,'Icyte Report'!A:A,'Icyte Report'!AV:AV)</f>
        <v>0</v>
      </c>
      <c r="AW44" s="10" t="str">
        <f>_xlfn.XLOOKUP(A44,'United MAMP All Components'!A:A,'United MAMP All Components'!AP:AP)</f>
        <v>0.00</v>
      </c>
      <c r="AX44" s="10">
        <f t="shared" si="15"/>
        <v>0</v>
      </c>
      <c r="AY44" s="10">
        <f>_xlfn.XLOOKUP(A44,'Icyte Report'!A:A,'Icyte Report'!BH:BH)</f>
        <v>0</v>
      </c>
      <c r="AZ44" s="10" t="e">
        <f>_xlfn.XLOOKUP(A44,'United Smoothed Indirect Inelig'!A:A,'United Smoothed Indirect Inelig'!D:D)</f>
        <v>#N/A</v>
      </c>
      <c r="BA44" s="10" t="e">
        <f t="shared" si="16"/>
        <v>#N/A</v>
      </c>
      <c r="BB44" s="10">
        <f>_xlfn.XLOOKUP(A44,'Icyte Report'!A:A,'Icyte Report'!BK:BK)</f>
        <v>0</v>
      </c>
      <c r="BC44" s="10" t="e">
        <f t="shared" si="17"/>
        <v>#N/A</v>
      </c>
      <c r="BD44" s="10">
        <f>_xlfn.XLOOKUP(A44,'Icyte Report'!A:A,'Icyte Report'!BN:BN)</f>
        <v>0</v>
      </c>
      <c r="BE44" s="10" t="e">
        <f>_xlfn.XLOOKUP(A44,'United Smoothed Indirect Inelig'!A:A,'United Smoothed Indirect Inelig'!C:C)</f>
        <v>#N/A</v>
      </c>
      <c r="BF44" s="10" t="e">
        <f t="shared" si="18"/>
        <v>#N/A</v>
      </c>
      <c r="BG44" s="10">
        <f>_xlfn.XLOOKUP(A44,'Icyte Report'!A:A,'Icyte Report'!BR:BR)</f>
        <v>0</v>
      </c>
      <c r="BH44" s="10" t="e">
        <f>_xlfn.XLOOKUP(A44,'United Smoothed Indirect Inelig'!A:A,'United Smoothed Indirect Inelig'!B:B)</f>
        <v>#N/A</v>
      </c>
      <c r="BI44" s="10" t="e">
        <f t="shared" si="19"/>
        <v>#N/A</v>
      </c>
      <c r="BJ44" s="10">
        <f>_xlfn.XLOOKUP(A44,'Icyte Report'!A:A,'Icyte Report'!BV:BV)</f>
        <v>0</v>
      </c>
      <c r="BK44" s="10" t="e">
        <f>_xlfn.XLOOKUP(A44,'United Smoothed Indirect Inelig'!A:A,'United Smoothed Indirect Inelig'!P:P)</f>
        <v>#N/A</v>
      </c>
      <c r="BL44" s="10" t="e">
        <f t="shared" si="20"/>
        <v>#N/A</v>
      </c>
      <c r="BM44" s="13">
        <f>_xlfn.XLOOKUP(A44,'Icyte Report'!A:A,'Icyte Report'!BW:BW)</f>
        <v>0</v>
      </c>
      <c r="BN44" s="13" t="e">
        <f>_xlfn.XLOOKUP(A44,'United Smoothed Indirect Inelig'!A:A,'United Smoothed Indirect Inelig'!G:G)+_xlfn.XLOOKUP(A44,'United Smoothed Indirect Inelig'!A:A,'United Smoothed Indirect Inelig'!H:H) + _xlfn.XLOOKUP(A44,'United Smoothed Indirect Inelig'!A:A,'United Smoothed Indirect Inelig'!I:I)+_xlfn.XLOOKUP(A44,'United Smoothed Indirect Inelig'!A:A,'United Smoothed Indirect Inelig'!J:J)</f>
        <v>#N/A</v>
      </c>
      <c r="BO44" s="18" t="e">
        <f t="shared" si="21"/>
        <v>#N/A</v>
      </c>
      <c r="BP44" s="10">
        <f>_xlfn.XLOOKUP(A44,'Icyte Report'!A:A,'Icyte Report'!BY:BY)</f>
        <v>0</v>
      </c>
      <c r="BQ44" s="10" t="e">
        <f>_xlfn.XLOOKUP(A44,'United Smoothed Indirect Inelig'!A:A,'United Smoothed Indirect Inelig'!L:L)+_xlfn.XLOOKUP(A44,'United Smoothed Indirect Inelig'!A:A,'United Smoothed Indirect Inelig'!M:M) + _xlfn.XLOOKUP(A44,'United Smoothed Indirect Inelig'!A:A,'United Smoothed Indirect Inelig'!N:N)+_xlfn.XLOOKUP(A44,'United Smoothed Indirect Inelig'!A:A,'United Smoothed Indirect Inelig'!O:O)</f>
        <v>#N/A</v>
      </c>
      <c r="BR44" s="10" t="e">
        <f t="shared" si="22"/>
        <v>#N/A</v>
      </c>
      <c r="BS44" s="10">
        <f>_xlfn.XLOOKUP(A44,'Icyte Report'!A:A,'Icyte Report'!BZ:BZ)</f>
        <v>0</v>
      </c>
      <c r="BT44" s="10" t="str">
        <f>_xlfn.XLOOKUP(A44,'United MAMP All Components'!A:A,'United MAMP All Components'!AL:AL)</f>
        <v>0.00</v>
      </c>
      <c r="BU44" s="10">
        <f t="shared" si="23"/>
        <v>0</v>
      </c>
      <c r="BV44" s="26">
        <f>_xlfn.XLOOKUP(A44,'Icyte Report'!A:A,'Icyte Report'!CA:CA)</f>
        <v>0</v>
      </c>
      <c r="BW44" s="22" t="str">
        <f>_xlfn.XLOOKUP(A44,'United MAMP All Components'!A:A,'United MAMP All Components'!AM:AM)</f>
        <v>0.00</v>
      </c>
      <c r="BX44" s="10">
        <f t="shared" si="24"/>
        <v>0</v>
      </c>
      <c r="BY44" s="10">
        <f>_xlfn.XLOOKUP(A44,'Icyte Report'!A:A,'Icyte Report'!CD:CD)</f>
        <v>0</v>
      </c>
      <c r="BZ44" s="10" t="str">
        <f>_xlfn.XLOOKUP(A44,'United_Smoothed Price Concessio'!A:A,'United_Smoothed Price Concessio'!D:D)</f>
        <v>$0.00</v>
      </c>
      <c r="CA44" s="10">
        <f t="shared" si="25"/>
        <v>0</v>
      </c>
      <c r="CB44" s="10">
        <f>_xlfn.XLOOKUP(A44,'Icyte Report'!A:A,'Icyte Report'!CF:CF)</f>
        <v>0</v>
      </c>
      <c r="CC44" s="10" t="e">
        <f>_xlfn.XLOOKUP(A44,'United Smoothed Indirect Inelig'!A:A,'United Smoothed Indirect Inelig'!F:F)</f>
        <v>#N/A</v>
      </c>
      <c r="CD44" s="10" t="e">
        <f t="shared" si="26"/>
        <v>#N/A</v>
      </c>
      <c r="CE44" s="10">
        <f>_xlfn.XLOOKUP(A44,'Icyte Report'!A:A,'Icyte Report'!CL:CL)</f>
        <v>0</v>
      </c>
      <c r="CF44" s="10" t="str">
        <f>_xlfn.XLOOKUP(A44,'United_Smoothed Price Concessio'!A:A,'United_Smoothed Price Concessio'!H:H)</f>
        <v>$0.00</v>
      </c>
      <c r="CG44" s="10">
        <f t="shared" si="27"/>
        <v>0</v>
      </c>
      <c r="CH44" s="10">
        <f>_xlfn.XLOOKUP(A44,'Icyte Report'!A:A,'Icyte Report'!CY:CY)</f>
        <v>0</v>
      </c>
      <c r="CI44" s="10" t="str">
        <f>_xlfn.XLOOKUP(A44,'United_Smoothed Price Concessio'!A:A,'United_Smoothed Price Concessio'!C:C)</f>
        <v>$0.00</v>
      </c>
      <c r="CJ44" s="10">
        <f t="shared" si="28"/>
        <v>0</v>
      </c>
      <c r="CK44" s="10">
        <f>_xlfn.XLOOKUP(A44,'Icyte Report'!A:A,'Icyte Report'!CZ:CZ)</f>
        <v>0</v>
      </c>
      <c r="CL44" s="10" t="str">
        <f>_xlfn.XLOOKUP(A44,'United_Smoothed Price Concessio'!A:A,'United_Smoothed Price Concessio'!G:G)</f>
        <v>$0.00</v>
      </c>
      <c r="CM44" s="10">
        <f t="shared" si="29"/>
        <v>0</v>
      </c>
      <c r="CN44" s="13">
        <f>_xlfn.XLOOKUP(A44,'Icyte Report'!A:A,'Icyte Report'!DA:DA)</f>
        <v>0</v>
      </c>
      <c r="CO44" s="13" t="str">
        <f>_xlfn.XLOOKUP(A44,'United_Smoothed Price Concessio'!A:A,'United_Smoothed Price Concessio'!I:I)</f>
        <v>0.000000%</v>
      </c>
      <c r="CP44" s="10">
        <f t="shared" si="30"/>
        <v>0</v>
      </c>
      <c r="CQ44" s="10">
        <f>_xlfn.XLOOKUP(A44,'Icyte Report'!A:A,'Icyte Report'!DB:DB)</f>
        <v>0</v>
      </c>
      <c r="CR44" s="10" t="str">
        <f>_xlfn.XLOOKUP(A44,'United MAMP All Components'!A:A,'United MAMP All Components'!AX:AX)</f>
        <v>0.00</v>
      </c>
      <c r="CS44" s="10">
        <f t="shared" si="31"/>
        <v>0</v>
      </c>
      <c r="CT44" s="10">
        <f>_xlfn.XLOOKUP(A44,'Icyte Report'!A:A,'Icyte Report'!DC:DC)</f>
        <v>0</v>
      </c>
      <c r="CU44" s="10" t="str">
        <f>_xlfn.XLOOKUP(A44,'United MAMP All Components'!A:A,'United MAMP All Components'!BA:BA)</f>
        <v>0.00</v>
      </c>
      <c r="CV44" s="10">
        <f t="shared" si="32"/>
        <v>0</v>
      </c>
      <c r="CW44" s="10">
        <f>_xlfn.XLOOKUP(A44,'Icyte Report'!A:A,'Icyte Report'!DD:DD)</f>
        <v>0</v>
      </c>
      <c r="CX44" s="10" t="str">
        <f>_xlfn.XLOOKUP(A44,'United MAMP All Components'!A:A,'United MAMP All Components'!BD:BD)</f>
        <v>0.00</v>
      </c>
      <c r="CY44" s="10">
        <f t="shared" si="33"/>
        <v>0</v>
      </c>
      <c r="CZ44" s="10">
        <f>_xlfn.XLOOKUP(A44,'Icyte Report'!A:A,'Icyte Report'!DE:DE)</f>
        <v>0</v>
      </c>
      <c r="DA44" s="10" t="str">
        <f>_xlfn.XLOOKUP(A44,'United MAMP All Components'!A:A,'United MAMP All Components'!BE:BE)</f>
        <v>0.00</v>
      </c>
      <c r="DB44" s="10">
        <f t="shared" si="34"/>
        <v>0</v>
      </c>
      <c r="DC44" s="10">
        <f>_xlfn.XLOOKUP(A44,'Icyte Report'!A:A,'Icyte Report'!DI:DI)</f>
        <v>9.9999999999999995E-7</v>
      </c>
      <c r="DD44" s="10" t="str">
        <f>_xlfn.XLOOKUP(A44,'United MAMP All Components'!A:A,'United MAMP All Components'!BG:BG)</f>
        <v>0.000001</v>
      </c>
      <c r="DE44" s="10">
        <f t="shared" si="35"/>
        <v>0</v>
      </c>
    </row>
    <row r="45" spans="1:109" x14ac:dyDescent="0.35">
      <c r="A45" s="10" t="s">
        <v>185</v>
      </c>
      <c r="B45" s="10" t="s">
        <v>456</v>
      </c>
      <c r="C45" s="10">
        <f>_xlfn.XLOOKUP(A45,'Icyte Report'!A:A,'Icyte Report'!W:W)</f>
        <v>0</v>
      </c>
      <c r="D45" s="10" t="str">
        <f>_xlfn.XLOOKUP(A45,'United MAMP All Components'!A:A,'United MAMP All Components'!B:B)</f>
        <v>0.00</v>
      </c>
      <c r="E45" s="10">
        <f t="shared" si="0"/>
        <v>0</v>
      </c>
      <c r="F45" s="10">
        <f>_xlfn.XLOOKUP(A45,'Icyte Report'!A:A,'Icyte Report'!X:X)</f>
        <v>0</v>
      </c>
      <c r="G45" s="10" t="str">
        <f>_xlfn.XLOOKUP(A45,'United MAMP All Components'!A:A,'United MAMP All Components'!C:C)</f>
        <v>0.00</v>
      </c>
      <c r="H45" s="10">
        <f t="shared" si="1"/>
        <v>0</v>
      </c>
      <c r="I45" s="10">
        <f>_xlfn.XLOOKUP(A45,'Icyte Report'!A:A,'Icyte Report'!Y:Y)</f>
        <v>0</v>
      </c>
      <c r="J45" s="10" t="str">
        <f>_xlfn.XLOOKUP(A45,'United MAMP All Components'!A:A,'United MAMP All Components'!E:E)</f>
        <v>0.00</v>
      </c>
      <c r="K45" s="10">
        <f t="shared" si="2"/>
        <v>0</v>
      </c>
      <c r="L45" s="10">
        <f>_xlfn.XLOOKUP(A45,'Icyte Report'!A:A,'Icyte Report'!Z:Z)</f>
        <v>0</v>
      </c>
      <c r="M45" s="10" t="str">
        <f>_xlfn.XLOOKUP(A45,'United MAMP All Components'!A:A,'United MAMP All Components'!F:F)</f>
        <v>0.00</v>
      </c>
      <c r="N45" s="10">
        <f t="shared" si="3"/>
        <v>0</v>
      </c>
      <c r="O45" s="10">
        <f>_xlfn.XLOOKUP(A45,'Icyte Report'!A:A,'Icyte Report'!AA:AA)</f>
        <v>0</v>
      </c>
      <c r="P45" s="10" t="str">
        <f>_xlfn.XLOOKUP(A45,'United MAMP All Components'!A:A,'United MAMP All Components'!H:H)</f>
        <v>0.00</v>
      </c>
      <c r="Q45" s="10">
        <f t="shared" si="4"/>
        <v>0</v>
      </c>
      <c r="R45" s="10">
        <f>_xlfn.XLOOKUP(A45,'Icyte Report'!A:A,'Icyte Report'!AB:AB)</f>
        <v>0</v>
      </c>
      <c r="S45" s="10" t="str">
        <f>_xlfn.XLOOKUP(A45,'United MAMP All Components'!A:A,'United MAMP All Components'!I:I)</f>
        <v>0.00</v>
      </c>
      <c r="T45" s="10">
        <f t="shared" si="5"/>
        <v>0</v>
      </c>
      <c r="U45" s="10">
        <f>_xlfn.XLOOKUP(A45,'Icyte Report'!A:A,'Icyte Report'!AC:AC)</f>
        <v>0</v>
      </c>
      <c r="V45" s="10" t="str">
        <f>_xlfn.XLOOKUP(A45,'United MAMP All Components'!A:A,'United MAMP All Components'!K:K)</f>
        <v>0.00</v>
      </c>
      <c r="W45" s="10">
        <f t="shared" si="6"/>
        <v>0</v>
      </c>
      <c r="X45" s="10">
        <f>_xlfn.XLOOKUP(A45,'Icyte Report'!A:A,'Icyte Report'!AD:AD)</f>
        <v>0</v>
      </c>
      <c r="Y45" s="10" t="str">
        <f>_xlfn.XLOOKUP(A45,'United MAMP All Components'!A:A,'United MAMP All Components'!L:L)</f>
        <v>0.00</v>
      </c>
      <c r="Z45" s="10">
        <f t="shared" si="7"/>
        <v>0</v>
      </c>
      <c r="AA45" s="10">
        <f>_xlfn.XLOOKUP(A45,'Icyte Report'!A:A,'Icyte Report'!AE:AE)</f>
        <v>0</v>
      </c>
      <c r="AB45" s="10" t="str">
        <f>_xlfn.XLOOKUP(A45,'United MAMP All Components'!A:A,'United MAMP All Components'!N:N)</f>
        <v>0.00</v>
      </c>
      <c r="AC45" s="10">
        <f t="shared" si="8"/>
        <v>0</v>
      </c>
      <c r="AD45" s="10">
        <f>_xlfn.XLOOKUP(A45,'Icyte Report'!A:A,'Icyte Report'!AF:AF)</f>
        <v>0</v>
      </c>
      <c r="AE45" s="10" t="str">
        <f>_xlfn.XLOOKUP(A45,'United MAMP All Components'!A:A,'United MAMP All Components'!O:O)</f>
        <v>0.00</v>
      </c>
      <c r="AF45" s="10">
        <f t="shared" si="9"/>
        <v>0</v>
      </c>
      <c r="AG45" s="10">
        <f>_xlfn.XLOOKUP(A45,'Icyte Report'!A:A,'Icyte Report'!AG:AG)</f>
        <v>0</v>
      </c>
      <c r="AH45" s="10" t="str">
        <f>_xlfn.XLOOKUP(A45,'United MAMP All Components'!A:A,'United MAMP All Components'!Q:Q)</f>
        <v>0.00</v>
      </c>
      <c r="AI45" s="10">
        <f t="shared" si="10"/>
        <v>0</v>
      </c>
      <c r="AJ45" s="10">
        <f>_xlfn.XLOOKUP(A45,'Icyte Report'!A:A,'Icyte Report'!AH:AH)</f>
        <v>0</v>
      </c>
      <c r="AK45" s="10" t="str">
        <f>_xlfn.XLOOKUP(A45,'United MAMP All Components'!A:A,'United MAMP All Components'!R:R)</f>
        <v>0.00</v>
      </c>
      <c r="AL45" s="10">
        <f t="shared" si="11"/>
        <v>0</v>
      </c>
      <c r="AM45" s="10">
        <f>_xlfn.XLOOKUP(A45,'Icyte Report'!A:A,'Icyte Report'!AS:AS)</f>
        <v>0</v>
      </c>
      <c r="AN45" s="10" t="str">
        <f>_xlfn.XLOOKUP(A45,'United MAMP All Components'!A:A,'United MAMP All Components'!T:T)</f>
        <v>0.00</v>
      </c>
      <c r="AO45" s="10">
        <f t="shared" si="12"/>
        <v>0</v>
      </c>
      <c r="AP45" s="10">
        <f>_xlfn.XLOOKUP(A45,'Icyte Report'!A:A,'Icyte Report'!AT:AT)</f>
        <v>0</v>
      </c>
      <c r="AQ45" s="10" t="str">
        <f>_xlfn.XLOOKUP(A45,'United MAMP All Components'!A:A,'United MAMP All Components'!U:U)</f>
        <v>0.00</v>
      </c>
      <c r="AR45" s="10">
        <f t="shared" si="13"/>
        <v>0</v>
      </c>
      <c r="AS45" s="10">
        <f>_xlfn.XLOOKUP(A45,'Icyte Report'!A:A,'Icyte Report'!AU:AU)</f>
        <v>0</v>
      </c>
      <c r="AT45" s="10" t="str">
        <f>_xlfn.XLOOKUP(A45,'United MAMP All Components'!A:A,'United MAMP All Components'!AO:AO)</f>
        <v>0.00</v>
      </c>
      <c r="AU45" s="10">
        <f t="shared" si="14"/>
        <v>0</v>
      </c>
      <c r="AV45" s="10">
        <f>_xlfn.XLOOKUP(A45,'Icyte Report'!A:A,'Icyte Report'!AV:AV)</f>
        <v>0</v>
      </c>
      <c r="AW45" s="10" t="str">
        <f>_xlfn.XLOOKUP(A45,'United MAMP All Components'!A:A,'United MAMP All Components'!AP:AP)</f>
        <v>0.00</v>
      </c>
      <c r="AX45" s="10">
        <f t="shared" si="15"/>
        <v>0</v>
      </c>
      <c r="AY45" s="10">
        <f>_xlfn.XLOOKUP(A45,'Icyte Report'!A:A,'Icyte Report'!BH:BH)</f>
        <v>0</v>
      </c>
      <c r="AZ45" s="10" t="e">
        <f>_xlfn.XLOOKUP(A45,'United Smoothed Indirect Inelig'!A:A,'United Smoothed Indirect Inelig'!D:D)</f>
        <v>#N/A</v>
      </c>
      <c r="BA45" s="10" t="e">
        <f t="shared" si="16"/>
        <v>#N/A</v>
      </c>
      <c r="BB45" s="10">
        <f>_xlfn.XLOOKUP(A45,'Icyte Report'!A:A,'Icyte Report'!BK:BK)</f>
        <v>0</v>
      </c>
      <c r="BC45" s="10" t="e">
        <f t="shared" si="17"/>
        <v>#N/A</v>
      </c>
      <c r="BD45" s="10">
        <f>_xlfn.XLOOKUP(A45,'Icyte Report'!A:A,'Icyte Report'!BN:BN)</f>
        <v>0</v>
      </c>
      <c r="BE45" s="10" t="e">
        <f>_xlfn.XLOOKUP(A45,'United Smoothed Indirect Inelig'!A:A,'United Smoothed Indirect Inelig'!C:C)</f>
        <v>#N/A</v>
      </c>
      <c r="BF45" s="10" t="e">
        <f t="shared" si="18"/>
        <v>#N/A</v>
      </c>
      <c r="BG45" s="10">
        <f>_xlfn.XLOOKUP(A45,'Icyte Report'!A:A,'Icyte Report'!BR:BR)</f>
        <v>0</v>
      </c>
      <c r="BH45" s="10" t="e">
        <f>_xlfn.XLOOKUP(A45,'United Smoothed Indirect Inelig'!A:A,'United Smoothed Indirect Inelig'!B:B)</f>
        <v>#N/A</v>
      </c>
      <c r="BI45" s="10" t="e">
        <f t="shared" si="19"/>
        <v>#N/A</v>
      </c>
      <c r="BJ45" s="10">
        <f>_xlfn.XLOOKUP(A45,'Icyte Report'!A:A,'Icyte Report'!BV:BV)</f>
        <v>0</v>
      </c>
      <c r="BK45" s="10" t="e">
        <f>_xlfn.XLOOKUP(A45,'United Smoothed Indirect Inelig'!A:A,'United Smoothed Indirect Inelig'!P:P)</f>
        <v>#N/A</v>
      </c>
      <c r="BL45" s="10" t="e">
        <f t="shared" si="20"/>
        <v>#N/A</v>
      </c>
      <c r="BM45" s="13">
        <f>_xlfn.XLOOKUP(A45,'Icyte Report'!A:A,'Icyte Report'!BW:BW)</f>
        <v>0</v>
      </c>
      <c r="BN45" s="13" t="e">
        <f>_xlfn.XLOOKUP(A45,'United Smoothed Indirect Inelig'!A:A,'United Smoothed Indirect Inelig'!G:G)+_xlfn.XLOOKUP(A45,'United Smoothed Indirect Inelig'!A:A,'United Smoothed Indirect Inelig'!H:H) + _xlfn.XLOOKUP(A45,'United Smoothed Indirect Inelig'!A:A,'United Smoothed Indirect Inelig'!I:I)+_xlfn.XLOOKUP(A45,'United Smoothed Indirect Inelig'!A:A,'United Smoothed Indirect Inelig'!J:J)</f>
        <v>#N/A</v>
      </c>
      <c r="BO45" s="18" t="e">
        <f t="shared" si="21"/>
        <v>#N/A</v>
      </c>
      <c r="BP45" s="10">
        <f>_xlfn.XLOOKUP(A45,'Icyte Report'!A:A,'Icyte Report'!BY:BY)</f>
        <v>0</v>
      </c>
      <c r="BQ45" s="10" t="e">
        <f>_xlfn.XLOOKUP(A45,'United Smoothed Indirect Inelig'!A:A,'United Smoothed Indirect Inelig'!L:L)+_xlfn.XLOOKUP(A45,'United Smoothed Indirect Inelig'!A:A,'United Smoothed Indirect Inelig'!M:M) + _xlfn.XLOOKUP(A45,'United Smoothed Indirect Inelig'!A:A,'United Smoothed Indirect Inelig'!N:N)+_xlfn.XLOOKUP(A45,'United Smoothed Indirect Inelig'!A:A,'United Smoothed Indirect Inelig'!O:O)</f>
        <v>#N/A</v>
      </c>
      <c r="BR45" s="10" t="e">
        <f t="shared" si="22"/>
        <v>#N/A</v>
      </c>
      <c r="BS45" s="10">
        <f>_xlfn.XLOOKUP(A45,'Icyte Report'!A:A,'Icyte Report'!BZ:BZ)</f>
        <v>0</v>
      </c>
      <c r="BT45" s="10" t="str">
        <f>_xlfn.XLOOKUP(A45,'United MAMP All Components'!A:A,'United MAMP All Components'!AL:AL)</f>
        <v>0.00</v>
      </c>
      <c r="BU45" s="10">
        <f t="shared" si="23"/>
        <v>0</v>
      </c>
      <c r="BV45" s="26">
        <f>_xlfn.XLOOKUP(A45,'Icyte Report'!A:A,'Icyte Report'!CA:CA)</f>
        <v>0</v>
      </c>
      <c r="BW45" s="22" t="str">
        <f>_xlfn.XLOOKUP(A45,'United MAMP All Components'!A:A,'United MAMP All Components'!AM:AM)</f>
        <v>0.00</v>
      </c>
      <c r="BX45" s="10">
        <f t="shared" si="24"/>
        <v>0</v>
      </c>
      <c r="BY45" s="10">
        <f>_xlfn.XLOOKUP(A45,'Icyte Report'!A:A,'Icyte Report'!CD:CD)</f>
        <v>0</v>
      </c>
      <c r="BZ45" s="10" t="str">
        <f>_xlfn.XLOOKUP(A45,'United_Smoothed Price Concessio'!A:A,'United_Smoothed Price Concessio'!D:D)</f>
        <v>$0.00</v>
      </c>
      <c r="CA45" s="10">
        <f t="shared" si="25"/>
        <v>0</v>
      </c>
      <c r="CB45" s="10">
        <f>_xlfn.XLOOKUP(A45,'Icyte Report'!A:A,'Icyte Report'!CF:CF)</f>
        <v>0</v>
      </c>
      <c r="CC45" s="10" t="e">
        <f>_xlfn.XLOOKUP(A45,'United Smoothed Indirect Inelig'!A:A,'United Smoothed Indirect Inelig'!F:F)</f>
        <v>#N/A</v>
      </c>
      <c r="CD45" s="10" t="e">
        <f t="shared" si="26"/>
        <v>#N/A</v>
      </c>
      <c r="CE45" s="10">
        <f>_xlfn.XLOOKUP(A45,'Icyte Report'!A:A,'Icyte Report'!CL:CL)</f>
        <v>0</v>
      </c>
      <c r="CF45" s="10" t="str">
        <f>_xlfn.XLOOKUP(A45,'United_Smoothed Price Concessio'!A:A,'United_Smoothed Price Concessio'!H:H)</f>
        <v>$0.00</v>
      </c>
      <c r="CG45" s="10">
        <f t="shared" si="27"/>
        <v>0</v>
      </c>
      <c r="CH45" s="10">
        <f>_xlfn.XLOOKUP(A45,'Icyte Report'!A:A,'Icyte Report'!CY:CY)</f>
        <v>0</v>
      </c>
      <c r="CI45" s="10" t="str">
        <f>_xlfn.XLOOKUP(A45,'United_Smoothed Price Concessio'!A:A,'United_Smoothed Price Concessio'!C:C)</f>
        <v>$0.00</v>
      </c>
      <c r="CJ45" s="10">
        <f t="shared" si="28"/>
        <v>0</v>
      </c>
      <c r="CK45" s="10">
        <f>_xlfn.XLOOKUP(A45,'Icyte Report'!A:A,'Icyte Report'!CZ:CZ)</f>
        <v>0</v>
      </c>
      <c r="CL45" s="10" t="str">
        <f>_xlfn.XLOOKUP(A45,'United_Smoothed Price Concessio'!A:A,'United_Smoothed Price Concessio'!G:G)</f>
        <v>$0.00</v>
      </c>
      <c r="CM45" s="10">
        <f t="shared" si="29"/>
        <v>0</v>
      </c>
      <c r="CN45" s="13">
        <f>_xlfn.XLOOKUP(A45,'Icyte Report'!A:A,'Icyte Report'!DA:DA)</f>
        <v>0</v>
      </c>
      <c r="CO45" s="13" t="str">
        <f>_xlfn.XLOOKUP(A45,'United_Smoothed Price Concessio'!A:A,'United_Smoothed Price Concessio'!I:I)</f>
        <v>0.000000%</v>
      </c>
      <c r="CP45" s="10">
        <f t="shared" si="30"/>
        <v>0</v>
      </c>
      <c r="CQ45" s="10">
        <f>_xlfn.XLOOKUP(A45,'Icyte Report'!A:A,'Icyte Report'!DB:DB)</f>
        <v>0</v>
      </c>
      <c r="CR45" s="10" t="str">
        <f>_xlfn.XLOOKUP(A45,'United MAMP All Components'!A:A,'United MAMP All Components'!AX:AX)</f>
        <v>0.00</v>
      </c>
      <c r="CS45" s="10">
        <f t="shared" si="31"/>
        <v>0</v>
      </c>
      <c r="CT45" s="10">
        <f>_xlfn.XLOOKUP(A45,'Icyte Report'!A:A,'Icyte Report'!DC:DC)</f>
        <v>0</v>
      </c>
      <c r="CU45" s="10" t="str">
        <f>_xlfn.XLOOKUP(A45,'United MAMP All Components'!A:A,'United MAMP All Components'!BA:BA)</f>
        <v>0.00</v>
      </c>
      <c r="CV45" s="10">
        <f t="shared" si="32"/>
        <v>0</v>
      </c>
      <c r="CW45" s="10">
        <f>_xlfn.XLOOKUP(A45,'Icyte Report'!A:A,'Icyte Report'!DD:DD)</f>
        <v>0</v>
      </c>
      <c r="CX45" s="10" t="str">
        <f>_xlfn.XLOOKUP(A45,'United MAMP All Components'!A:A,'United MAMP All Components'!BD:BD)</f>
        <v>0.00</v>
      </c>
      <c r="CY45" s="10">
        <f t="shared" si="33"/>
        <v>0</v>
      </c>
      <c r="CZ45" s="10">
        <f>_xlfn.XLOOKUP(A45,'Icyte Report'!A:A,'Icyte Report'!DE:DE)</f>
        <v>0</v>
      </c>
      <c r="DA45" s="10" t="str">
        <f>_xlfn.XLOOKUP(A45,'United MAMP All Components'!A:A,'United MAMP All Components'!BE:BE)</f>
        <v>0.00</v>
      </c>
      <c r="DB45" s="10">
        <f t="shared" si="34"/>
        <v>0</v>
      </c>
      <c r="DC45" s="10">
        <f>_xlfn.XLOOKUP(A45,'Icyte Report'!A:A,'Icyte Report'!DI:DI)</f>
        <v>9.9999999999999995E-7</v>
      </c>
      <c r="DD45" s="10" t="str">
        <f>_xlfn.XLOOKUP(A45,'United MAMP All Components'!A:A,'United MAMP All Components'!BG:BG)</f>
        <v>0.000001</v>
      </c>
      <c r="DE45" s="10">
        <f t="shared" si="35"/>
        <v>0</v>
      </c>
    </row>
    <row r="46" spans="1:109" x14ac:dyDescent="0.35">
      <c r="A46" s="10" t="s">
        <v>186</v>
      </c>
      <c r="B46" s="10" t="s">
        <v>457</v>
      </c>
      <c r="C46" s="10">
        <f>_xlfn.XLOOKUP(A46,'Icyte Report'!A:A,'Icyte Report'!W:W)</f>
        <v>0</v>
      </c>
      <c r="D46" s="10" t="str">
        <f>_xlfn.XLOOKUP(A46,'United MAMP All Components'!A:A,'United MAMP All Components'!B:B)</f>
        <v>0.00</v>
      </c>
      <c r="E46" s="10">
        <f t="shared" si="0"/>
        <v>0</v>
      </c>
      <c r="F46" s="10">
        <f>_xlfn.XLOOKUP(A46,'Icyte Report'!A:A,'Icyte Report'!X:X)</f>
        <v>0</v>
      </c>
      <c r="G46" s="10" t="str">
        <f>_xlfn.XLOOKUP(A46,'United MAMP All Components'!A:A,'United MAMP All Components'!C:C)</f>
        <v>0.00</v>
      </c>
      <c r="H46" s="10">
        <f t="shared" si="1"/>
        <v>0</v>
      </c>
      <c r="I46" s="10">
        <f>_xlfn.XLOOKUP(A46,'Icyte Report'!A:A,'Icyte Report'!Y:Y)</f>
        <v>0</v>
      </c>
      <c r="J46" s="10" t="str">
        <f>_xlfn.XLOOKUP(A46,'United MAMP All Components'!A:A,'United MAMP All Components'!E:E)</f>
        <v>0.00</v>
      </c>
      <c r="K46" s="10">
        <f t="shared" si="2"/>
        <v>0</v>
      </c>
      <c r="L46" s="10">
        <f>_xlfn.XLOOKUP(A46,'Icyte Report'!A:A,'Icyte Report'!Z:Z)</f>
        <v>0</v>
      </c>
      <c r="M46" s="10" t="str">
        <f>_xlfn.XLOOKUP(A46,'United MAMP All Components'!A:A,'United MAMP All Components'!F:F)</f>
        <v>0.00</v>
      </c>
      <c r="N46" s="10">
        <f t="shared" si="3"/>
        <v>0</v>
      </c>
      <c r="O46" s="10">
        <f>_xlfn.XLOOKUP(A46,'Icyte Report'!A:A,'Icyte Report'!AA:AA)</f>
        <v>0</v>
      </c>
      <c r="P46" s="10" t="str">
        <f>_xlfn.XLOOKUP(A46,'United MAMP All Components'!A:A,'United MAMP All Components'!H:H)</f>
        <v>0.00</v>
      </c>
      <c r="Q46" s="10">
        <f t="shared" si="4"/>
        <v>0</v>
      </c>
      <c r="R46" s="10">
        <f>_xlfn.XLOOKUP(A46,'Icyte Report'!A:A,'Icyte Report'!AB:AB)</f>
        <v>0</v>
      </c>
      <c r="S46" s="10" t="str">
        <f>_xlfn.XLOOKUP(A46,'United MAMP All Components'!A:A,'United MAMP All Components'!I:I)</f>
        <v>0.00</v>
      </c>
      <c r="T46" s="10">
        <f t="shared" si="5"/>
        <v>0</v>
      </c>
      <c r="U46" s="10">
        <f>_xlfn.XLOOKUP(A46,'Icyte Report'!A:A,'Icyte Report'!AC:AC)</f>
        <v>0</v>
      </c>
      <c r="V46" s="10" t="str">
        <f>_xlfn.XLOOKUP(A46,'United MAMP All Components'!A:A,'United MAMP All Components'!K:K)</f>
        <v>0.00</v>
      </c>
      <c r="W46" s="10">
        <f t="shared" si="6"/>
        <v>0</v>
      </c>
      <c r="X46" s="10">
        <f>_xlfn.XLOOKUP(A46,'Icyte Report'!A:A,'Icyte Report'!AD:AD)</f>
        <v>0</v>
      </c>
      <c r="Y46" s="10" t="str">
        <f>_xlfn.XLOOKUP(A46,'United MAMP All Components'!A:A,'United MAMP All Components'!L:L)</f>
        <v>0.00</v>
      </c>
      <c r="Z46" s="10">
        <f t="shared" si="7"/>
        <v>0</v>
      </c>
      <c r="AA46" s="10">
        <f>_xlfn.XLOOKUP(A46,'Icyte Report'!A:A,'Icyte Report'!AE:AE)</f>
        <v>0</v>
      </c>
      <c r="AB46" s="10" t="str">
        <f>_xlfn.XLOOKUP(A46,'United MAMP All Components'!A:A,'United MAMP All Components'!N:N)</f>
        <v>0.00</v>
      </c>
      <c r="AC46" s="10">
        <f t="shared" si="8"/>
        <v>0</v>
      </c>
      <c r="AD46" s="10">
        <f>_xlfn.XLOOKUP(A46,'Icyte Report'!A:A,'Icyte Report'!AF:AF)</f>
        <v>0</v>
      </c>
      <c r="AE46" s="10" t="str">
        <f>_xlfn.XLOOKUP(A46,'United MAMP All Components'!A:A,'United MAMP All Components'!O:O)</f>
        <v>0.00</v>
      </c>
      <c r="AF46" s="10">
        <f t="shared" si="9"/>
        <v>0</v>
      </c>
      <c r="AG46" s="10">
        <f>_xlfn.XLOOKUP(A46,'Icyte Report'!A:A,'Icyte Report'!AG:AG)</f>
        <v>0</v>
      </c>
      <c r="AH46" s="10" t="str">
        <f>_xlfn.XLOOKUP(A46,'United MAMP All Components'!A:A,'United MAMP All Components'!Q:Q)</f>
        <v>0.00</v>
      </c>
      <c r="AI46" s="10">
        <f t="shared" si="10"/>
        <v>0</v>
      </c>
      <c r="AJ46" s="10">
        <f>_xlfn.XLOOKUP(A46,'Icyte Report'!A:A,'Icyte Report'!AH:AH)</f>
        <v>0</v>
      </c>
      <c r="AK46" s="10" t="str">
        <f>_xlfn.XLOOKUP(A46,'United MAMP All Components'!A:A,'United MAMP All Components'!R:R)</f>
        <v>0.00</v>
      </c>
      <c r="AL46" s="10">
        <f t="shared" si="11"/>
        <v>0</v>
      </c>
      <c r="AM46" s="10">
        <f>_xlfn.XLOOKUP(A46,'Icyte Report'!A:A,'Icyte Report'!AS:AS)</f>
        <v>0</v>
      </c>
      <c r="AN46" s="10" t="str">
        <f>_xlfn.XLOOKUP(A46,'United MAMP All Components'!A:A,'United MAMP All Components'!T:T)</f>
        <v>0.00</v>
      </c>
      <c r="AO46" s="10">
        <f t="shared" si="12"/>
        <v>0</v>
      </c>
      <c r="AP46" s="10">
        <f>_xlfn.XLOOKUP(A46,'Icyte Report'!A:A,'Icyte Report'!AT:AT)</f>
        <v>0</v>
      </c>
      <c r="AQ46" s="10" t="str">
        <f>_xlfn.XLOOKUP(A46,'United MAMP All Components'!A:A,'United MAMP All Components'!U:U)</f>
        <v>0.00</v>
      </c>
      <c r="AR46" s="10">
        <f t="shared" si="13"/>
        <v>0</v>
      </c>
      <c r="AS46" s="10">
        <f>_xlfn.XLOOKUP(A46,'Icyte Report'!A:A,'Icyte Report'!AU:AU)</f>
        <v>0</v>
      </c>
      <c r="AT46" s="10" t="str">
        <f>_xlfn.XLOOKUP(A46,'United MAMP All Components'!A:A,'United MAMP All Components'!AO:AO)</f>
        <v>0.00</v>
      </c>
      <c r="AU46" s="10">
        <f t="shared" si="14"/>
        <v>0</v>
      </c>
      <c r="AV46" s="10">
        <f>_xlfn.XLOOKUP(A46,'Icyte Report'!A:A,'Icyte Report'!AV:AV)</f>
        <v>0</v>
      </c>
      <c r="AW46" s="10" t="str">
        <f>_xlfn.XLOOKUP(A46,'United MAMP All Components'!A:A,'United MAMP All Components'!AP:AP)</f>
        <v>0.00</v>
      </c>
      <c r="AX46" s="10">
        <f t="shared" si="15"/>
        <v>0</v>
      </c>
      <c r="AY46" s="10">
        <f>_xlfn.XLOOKUP(A46,'Icyte Report'!A:A,'Icyte Report'!BH:BH)</f>
        <v>0</v>
      </c>
      <c r="AZ46" s="10" t="e">
        <f>_xlfn.XLOOKUP(A46,'United Smoothed Indirect Inelig'!A:A,'United Smoothed Indirect Inelig'!D:D)</f>
        <v>#N/A</v>
      </c>
      <c r="BA46" s="10" t="e">
        <f t="shared" si="16"/>
        <v>#N/A</v>
      </c>
      <c r="BB46" s="10">
        <f>_xlfn.XLOOKUP(A46,'Icyte Report'!A:A,'Icyte Report'!BK:BK)</f>
        <v>0</v>
      </c>
      <c r="BC46" s="10" t="e">
        <f t="shared" si="17"/>
        <v>#N/A</v>
      </c>
      <c r="BD46" s="10">
        <f>_xlfn.XLOOKUP(A46,'Icyte Report'!A:A,'Icyte Report'!BN:BN)</f>
        <v>0</v>
      </c>
      <c r="BE46" s="10" t="e">
        <f>_xlfn.XLOOKUP(A46,'United Smoothed Indirect Inelig'!A:A,'United Smoothed Indirect Inelig'!C:C)</f>
        <v>#N/A</v>
      </c>
      <c r="BF46" s="10" t="e">
        <f t="shared" si="18"/>
        <v>#N/A</v>
      </c>
      <c r="BG46" s="10">
        <f>_xlfn.XLOOKUP(A46,'Icyte Report'!A:A,'Icyte Report'!BR:BR)</f>
        <v>0</v>
      </c>
      <c r="BH46" s="10" t="e">
        <f>_xlfn.XLOOKUP(A46,'United Smoothed Indirect Inelig'!A:A,'United Smoothed Indirect Inelig'!B:B)</f>
        <v>#N/A</v>
      </c>
      <c r="BI46" s="10" t="e">
        <f t="shared" si="19"/>
        <v>#N/A</v>
      </c>
      <c r="BJ46" s="10">
        <f>_xlfn.XLOOKUP(A46,'Icyte Report'!A:A,'Icyte Report'!BV:BV)</f>
        <v>0</v>
      </c>
      <c r="BK46" s="10" t="e">
        <f>_xlfn.XLOOKUP(A46,'United Smoothed Indirect Inelig'!A:A,'United Smoothed Indirect Inelig'!P:P)</f>
        <v>#N/A</v>
      </c>
      <c r="BL46" s="10" t="e">
        <f t="shared" si="20"/>
        <v>#N/A</v>
      </c>
      <c r="BM46" s="13">
        <f>_xlfn.XLOOKUP(A46,'Icyte Report'!A:A,'Icyte Report'!BW:BW)</f>
        <v>0</v>
      </c>
      <c r="BN46" s="13" t="e">
        <f>_xlfn.XLOOKUP(A46,'United Smoothed Indirect Inelig'!A:A,'United Smoothed Indirect Inelig'!G:G)+_xlfn.XLOOKUP(A46,'United Smoothed Indirect Inelig'!A:A,'United Smoothed Indirect Inelig'!H:H) + _xlfn.XLOOKUP(A46,'United Smoothed Indirect Inelig'!A:A,'United Smoothed Indirect Inelig'!I:I)+_xlfn.XLOOKUP(A46,'United Smoothed Indirect Inelig'!A:A,'United Smoothed Indirect Inelig'!J:J)</f>
        <v>#N/A</v>
      </c>
      <c r="BO46" s="18" t="e">
        <f t="shared" si="21"/>
        <v>#N/A</v>
      </c>
      <c r="BP46" s="10">
        <f>_xlfn.XLOOKUP(A46,'Icyte Report'!A:A,'Icyte Report'!BY:BY)</f>
        <v>0</v>
      </c>
      <c r="BQ46" s="10" t="e">
        <f>_xlfn.XLOOKUP(A46,'United Smoothed Indirect Inelig'!A:A,'United Smoothed Indirect Inelig'!L:L)+_xlfn.XLOOKUP(A46,'United Smoothed Indirect Inelig'!A:A,'United Smoothed Indirect Inelig'!M:M) + _xlfn.XLOOKUP(A46,'United Smoothed Indirect Inelig'!A:A,'United Smoothed Indirect Inelig'!N:N)+_xlfn.XLOOKUP(A46,'United Smoothed Indirect Inelig'!A:A,'United Smoothed Indirect Inelig'!O:O)</f>
        <v>#N/A</v>
      </c>
      <c r="BR46" s="10" t="e">
        <f t="shared" si="22"/>
        <v>#N/A</v>
      </c>
      <c r="BS46" s="10">
        <f>_xlfn.XLOOKUP(A46,'Icyte Report'!A:A,'Icyte Report'!BZ:BZ)</f>
        <v>0</v>
      </c>
      <c r="BT46" s="10" t="str">
        <f>_xlfn.XLOOKUP(A46,'United MAMP All Components'!A:A,'United MAMP All Components'!AL:AL)</f>
        <v>0.00</v>
      </c>
      <c r="BU46" s="10">
        <f t="shared" si="23"/>
        <v>0</v>
      </c>
      <c r="BV46" s="26">
        <f>_xlfn.XLOOKUP(A46,'Icyte Report'!A:A,'Icyte Report'!CA:CA)</f>
        <v>0</v>
      </c>
      <c r="BW46" s="22" t="str">
        <f>_xlfn.XLOOKUP(A46,'United MAMP All Components'!A:A,'United MAMP All Components'!AM:AM)</f>
        <v>0.00</v>
      </c>
      <c r="BX46" s="10">
        <f t="shared" si="24"/>
        <v>0</v>
      </c>
      <c r="BY46" s="10">
        <f>_xlfn.XLOOKUP(A46,'Icyte Report'!A:A,'Icyte Report'!CD:CD)</f>
        <v>0</v>
      </c>
      <c r="BZ46" s="10" t="str">
        <f>_xlfn.XLOOKUP(A46,'United_Smoothed Price Concessio'!A:A,'United_Smoothed Price Concessio'!D:D)</f>
        <v>$0.00</v>
      </c>
      <c r="CA46" s="10">
        <f t="shared" si="25"/>
        <v>0</v>
      </c>
      <c r="CB46" s="10">
        <f>_xlfn.XLOOKUP(A46,'Icyte Report'!A:A,'Icyte Report'!CF:CF)</f>
        <v>0</v>
      </c>
      <c r="CC46" s="10" t="e">
        <f>_xlfn.XLOOKUP(A46,'United Smoothed Indirect Inelig'!A:A,'United Smoothed Indirect Inelig'!F:F)</f>
        <v>#N/A</v>
      </c>
      <c r="CD46" s="10" t="e">
        <f t="shared" si="26"/>
        <v>#N/A</v>
      </c>
      <c r="CE46" s="10">
        <f>_xlfn.XLOOKUP(A46,'Icyte Report'!A:A,'Icyte Report'!CL:CL)</f>
        <v>0</v>
      </c>
      <c r="CF46" s="10" t="str">
        <f>_xlfn.XLOOKUP(A46,'United_Smoothed Price Concessio'!A:A,'United_Smoothed Price Concessio'!H:H)</f>
        <v>$0.00</v>
      </c>
      <c r="CG46" s="10">
        <f t="shared" si="27"/>
        <v>0</v>
      </c>
      <c r="CH46" s="10">
        <f>_xlfn.XLOOKUP(A46,'Icyte Report'!A:A,'Icyte Report'!CY:CY)</f>
        <v>0</v>
      </c>
      <c r="CI46" s="10" t="str">
        <f>_xlfn.XLOOKUP(A46,'United_Smoothed Price Concessio'!A:A,'United_Smoothed Price Concessio'!C:C)</f>
        <v>$0.00</v>
      </c>
      <c r="CJ46" s="10">
        <f t="shared" si="28"/>
        <v>0</v>
      </c>
      <c r="CK46" s="10">
        <f>_xlfn.XLOOKUP(A46,'Icyte Report'!A:A,'Icyte Report'!CZ:CZ)</f>
        <v>0</v>
      </c>
      <c r="CL46" s="10" t="str">
        <f>_xlfn.XLOOKUP(A46,'United_Smoothed Price Concessio'!A:A,'United_Smoothed Price Concessio'!G:G)</f>
        <v>$0.00</v>
      </c>
      <c r="CM46" s="10">
        <f t="shared" si="29"/>
        <v>0</v>
      </c>
      <c r="CN46" s="13">
        <f>_xlfn.XLOOKUP(A46,'Icyte Report'!A:A,'Icyte Report'!DA:DA)</f>
        <v>0</v>
      </c>
      <c r="CO46" s="13" t="str">
        <f>_xlfn.XLOOKUP(A46,'United_Smoothed Price Concessio'!A:A,'United_Smoothed Price Concessio'!I:I)</f>
        <v>0.000000%</v>
      </c>
      <c r="CP46" s="10">
        <f t="shared" si="30"/>
        <v>0</v>
      </c>
      <c r="CQ46" s="10">
        <f>_xlfn.XLOOKUP(A46,'Icyte Report'!A:A,'Icyte Report'!DB:DB)</f>
        <v>0</v>
      </c>
      <c r="CR46" s="10" t="str">
        <f>_xlfn.XLOOKUP(A46,'United MAMP All Components'!A:A,'United MAMP All Components'!AX:AX)</f>
        <v>0.00</v>
      </c>
      <c r="CS46" s="10">
        <f t="shared" si="31"/>
        <v>0</v>
      </c>
      <c r="CT46" s="10">
        <f>_xlfn.XLOOKUP(A46,'Icyte Report'!A:A,'Icyte Report'!DC:DC)</f>
        <v>0</v>
      </c>
      <c r="CU46" s="10" t="str">
        <f>_xlfn.XLOOKUP(A46,'United MAMP All Components'!A:A,'United MAMP All Components'!BA:BA)</f>
        <v>0.00</v>
      </c>
      <c r="CV46" s="10">
        <f t="shared" si="32"/>
        <v>0</v>
      </c>
      <c r="CW46" s="10">
        <f>_xlfn.XLOOKUP(A46,'Icyte Report'!A:A,'Icyte Report'!DD:DD)</f>
        <v>0</v>
      </c>
      <c r="CX46" s="10" t="str">
        <f>_xlfn.XLOOKUP(A46,'United MAMP All Components'!A:A,'United MAMP All Components'!BD:BD)</f>
        <v>0.00</v>
      </c>
      <c r="CY46" s="10">
        <f t="shared" si="33"/>
        <v>0</v>
      </c>
      <c r="CZ46" s="10">
        <f>_xlfn.XLOOKUP(A46,'Icyte Report'!A:A,'Icyte Report'!DE:DE)</f>
        <v>0</v>
      </c>
      <c r="DA46" s="10" t="str">
        <f>_xlfn.XLOOKUP(A46,'United MAMP All Components'!A:A,'United MAMP All Components'!BE:BE)</f>
        <v>0.00</v>
      </c>
      <c r="DB46" s="10">
        <f t="shared" si="34"/>
        <v>0</v>
      </c>
      <c r="DC46" s="10">
        <f>_xlfn.XLOOKUP(A46,'Icyte Report'!A:A,'Icyte Report'!DI:DI)</f>
        <v>9.9999999999999995E-7</v>
      </c>
      <c r="DD46" s="10" t="str">
        <f>_xlfn.XLOOKUP(A46,'United MAMP All Components'!A:A,'United MAMP All Components'!BG:BG)</f>
        <v>0.000001</v>
      </c>
      <c r="DE46" s="10">
        <f t="shared" si="35"/>
        <v>0</v>
      </c>
    </row>
    <row r="47" spans="1:109" x14ac:dyDescent="0.35">
      <c r="A47" s="10" t="s">
        <v>187</v>
      </c>
      <c r="B47" s="10" t="s">
        <v>458</v>
      </c>
      <c r="C47" s="10">
        <f>_xlfn.XLOOKUP(A47,'Icyte Report'!A:A,'Icyte Report'!W:W)</f>
        <v>0</v>
      </c>
      <c r="D47" s="10" t="str">
        <f>_xlfn.XLOOKUP(A47,'United MAMP All Components'!A:A,'United MAMP All Components'!B:B)</f>
        <v>0.00</v>
      </c>
      <c r="E47" s="10">
        <f t="shared" si="0"/>
        <v>0</v>
      </c>
      <c r="F47" s="10">
        <f>_xlfn.XLOOKUP(A47,'Icyte Report'!A:A,'Icyte Report'!X:X)</f>
        <v>0</v>
      </c>
      <c r="G47" s="10" t="str">
        <f>_xlfn.XLOOKUP(A47,'United MAMP All Components'!A:A,'United MAMP All Components'!C:C)</f>
        <v>0.00</v>
      </c>
      <c r="H47" s="10">
        <f t="shared" si="1"/>
        <v>0</v>
      </c>
      <c r="I47" s="10">
        <f>_xlfn.XLOOKUP(A47,'Icyte Report'!A:A,'Icyte Report'!Y:Y)</f>
        <v>0</v>
      </c>
      <c r="J47" s="10" t="str">
        <f>_xlfn.XLOOKUP(A47,'United MAMP All Components'!A:A,'United MAMP All Components'!E:E)</f>
        <v>0.00</v>
      </c>
      <c r="K47" s="10">
        <f t="shared" si="2"/>
        <v>0</v>
      </c>
      <c r="L47" s="10">
        <f>_xlfn.XLOOKUP(A47,'Icyte Report'!A:A,'Icyte Report'!Z:Z)</f>
        <v>0</v>
      </c>
      <c r="M47" s="10" t="str">
        <f>_xlfn.XLOOKUP(A47,'United MAMP All Components'!A:A,'United MAMP All Components'!F:F)</f>
        <v>0.00</v>
      </c>
      <c r="N47" s="10">
        <f t="shared" si="3"/>
        <v>0</v>
      </c>
      <c r="O47" s="10">
        <f>_xlfn.XLOOKUP(A47,'Icyte Report'!A:A,'Icyte Report'!AA:AA)</f>
        <v>0</v>
      </c>
      <c r="P47" s="10" t="str">
        <f>_xlfn.XLOOKUP(A47,'United MAMP All Components'!A:A,'United MAMP All Components'!H:H)</f>
        <v>0.00</v>
      </c>
      <c r="Q47" s="10">
        <f t="shared" si="4"/>
        <v>0</v>
      </c>
      <c r="R47" s="10">
        <f>_xlfn.XLOOKUP(A47,'Icyte Report'!A:A,'Icyte Report'!AB:AB)</f>
        <v>0</v>
      </c>
      <c r="S47" s="10" t="str">
        <f>_xlfn.XLOOKUP(A47,'United MAMP All Components'!A:A,'United MAMP All Components'!I:I)</f>
        <v>0.00</v>
      </c>
      <c r="T47" s="10">
        <f t="shared" si="5"/>
        <v>0</v>
      </c>
      <c r="U47" s="10">
        <f>_xlfn.XLOOKUP(A47,'Icyte Report'!A:A,'Icyte Report'!AC:AC)</f>
        <v>0</v>
      </c>
      <c r="V47" s="10" t="str">
        <f>_xlfn.XLOOKUP(A47,'United MAMP All Components'!A:A,'United MAMP All Components'!K:K)</f>
        <v>0.00</v>
      </c>
      <c r="W47" s="10">
        <f t="shared" si="6"/>
        <v>0</v>
      </c>
      <c r="X47" s="10">
        <f>_xlfn.XLOOKUP(A47,'Icyte Report'!A:A,'Icyte Report'!AD:AD)</f>
        <v>0</v>
      </c>
      <c r="Y47" s="10" t="str">
        <f>_xlfn.XLOOKUP(A47,'United MAMP All Components'!A:A,'United MAMP All Components'!L:L)</f>
        <v>0.00</v>
      </c>
      <c r="Z47" s="10">
        <f t="shared" si="7"/>
        <v>0</v>
      </c>
      <c r="AA47" s="10">
        <f>_xlfn.XLOOKUP(A47,'Icyte Report'!A:A,'Icyte Report'!AE:AE)</f>
        <v>0</v>
      </c>
      <c r="AB47" s="10" t="str">
        <f>_xlfn.XLOOKUP(A47,'United MAMP All Components'!A:A,'United MAMP All Components'!N:N)</f>
        <v>0.00</v>
      </c>
      <c r="AC47" s="10">
        <f t="shared" si="8"/>
        <v>0</v>
      </c>
      <c r="AD47" s="10">
        <f>_xlfn.XLOOKUP(A47,'Icyte Report'!A:A,'Icyte Report'!AF:AF)</f>
        <v>0</v>
      </c>
      <c r="AE47" s="10" t="str">
        <f>_xlfn.XLOOKUP(A47,'United MAMP All Components'!A:A,'United MAMP All Components'!O:O)</f>
        <v>0.00</v>
      </c>
      <c r="AF47" s="10">
        <f t="shared" si="9"/>
        <v>0</v>
      </c>
      <c r="AG47" s="10">
        <f>_xlfn.XLOOKUP(A47,'Icyte Report'!A:A,'Icyte Report'!AG:AG)</f>
        <v>0</v>
      </c>
      <c r="AH47" s="10" t="str">
        <f>_xlfn.XLOOKUP(A47,'United MAMP All Components'!A:A,'United MAMP All Components'!Q:Q)</f>
        <v>0.00</v>
      </c>
      <c r="AI47" s="10">
        <f t="shared" si="10"/>
        <v>0</v>
      </c>
      <c r="AJ47" s="10">
        <f>_xlfn.XLOOKUP(A47,'Icyte Report'!A:A,'Icyte Report'!AH:AH)</f>
        <v>0</v>
      </c>
      <c r="AK47" s="10" t="str">
        <f>_xlfn.XLOOKUP(A47,'United MAMP All Components'!A:A,'United MAMP All Components'!R:R)</f>
        <v>0.00</v>
      </c>
      <c r="AL47" s="10">
        <f t="shared" si="11"/>
        <v>0</v>
      </c>
      <c r="AM47" s="10">
        <f>_xlfn.XLOOKUP(A47,'Icyte Report'!A:A,'Icyte Report'!AS:AS)</f>
        <v>0</v>
      </c>
      <c r="AN47" s="10" t="str">
        <f>_xlfn.XLOOKUP(A47,'United MAMP All Components'!A:A,'United MAMP All Components'!T:T)</f>
        <v>0.00</v>
      </c>
      <c r="AO47" s="10">
        <f t="shared" si="12"/>
        <v>0</v>
      </c>
      <c r="AP47" s="10">
        <f>_xlfn.XLOOKUP(A47,'Icyte Report'!A:A,'Icyte Report'!AT:AT)</f>
        <v>0</v>
      </c>
      <c r="AQ47" s="10" t="str">
        <f>_xlfn.XLOOKUP(A47,'United MAMP All Components'!A:A,'United MAMP All Components'!U:U)</f>
        <v>0.00</v>
      </c>
      <c r="AR47" s="10">
        <f t="shared" si="13"/>
        <v>0</v>
      </c>
      <c r="AS47" s="10">
        <f>_xlfn.XLOOKUP(A47,'Icyte Report'!A:A,'Icyte Report'!AU:AU)</f>
        <v>0</v>
      </c>
      <c r="AT47" s="10" t="str">
        <f>_xlfn.XLOOKUP(A47,'United MAMP All Components'!A:A,'United MAMP All Components'!AO:AO)</f>
        <v>0.00</v>
      </c>
      <c r="AU47" s="10">
        <f t="shared" si="14"/>
        <v>0</v>
      </c>
      <c r="AV47" s="10">
        <f>_xlfn.XLOOKUP(A47,'Icyte Report'!A:A,'Icyte Report'!AV:AV)</f>
        <v>0</v>
      </c>
      <c r="AW47" s="10" t="str">
        <f>_xlfn.XLOOKUP(A47,'United MAMP All Components'!A:A,'United MAMP All Components'!AP:AP)</f>
        <v>0.00</v>
      </c>
      <c r="AX47" s="10">
        <f t="shared" si="15"/>
        <v>0</v>
      </c>
      <c r="AY47" s="10">
        <f>_xlfn.XLOOKUP(A47,'Icyte Report'!A:A,'Icyte Report'!BH:BH)</f>
        <v>0</v>
      </c>
      <c r="AZ47" s="10" t="e">
        <f>_xlfn.XLOOKUP(A47,'United Smoothed Indirect Inelig'!A:A,'United Smoothed Indirect Inelig'!D:D)</f>
        <v>#N/A</v>
      </c>
      <c r="BA47" s="10" t="e">
        <f t="shared" si="16"/>
        <v>#N/A</v>
      </c>
      <c r="BB47" s="10">
        <f>_xlfn.XLOOKUP(A47,'Icyte Report'!A:A,'Icyte Report'!BK:BK)</f>
        <v>0</v>
      </c>
      <c r="BC47" s="10" t="e">
        <f t="shared" si="17"/>
        <v>#N/A</v>
      </c>
      <c r="BD47" s="10">
        <f>_xlfn.XLOOKUP(A47,'Icyte Report'!A:A,'Icyte Report'!BN:BN)</f>
        <v>0</v>
      </c>
      <c r="BE47" s="10" t="e">
        <f>_xlfn.XLOOKUP(A47,'United Smoothed Indirect Inelig'!A:A,'United Smoothed Indirect Inelig'!C:C)</f>
        <v>#N/A</v>
      </c>
      <c r="BF47" s="10" t="e">
        <f t="shared" si="18"/>
        <v>#N/A</v>
      </c>
      <c r="BG47" s="10">
        <f>_xlfn.XLOOKUP(A47,'Icyte Report'!A:A,'Icyte Report'!BR:BR)</f>
        <v>0</v>
      </c>
      <c r="BH47" s="10" t="e">
        <f>_xlfn.XLOOKUP(A47,'United Smoothed Indirect Inelig'!A:A,'United Smoothed Indirect Inelig'!B:B)</f>
        <v>#N/A</v>
      </c>
      <c r="BI47" s="10" t="e">
        <f t="shared" si="19"/>
        <v>#N/A</v>
      </c>
      <c r="BJ47" s="10">
        <f>_xlfn.XLOOKUP(A47,'Icyte Report'!A:A,'Icyte Report'!BV:BV)</f>
        <v>0</v>
      </c>
      <c r="BK47" s="10" t="e">
        <f>_xlfn.XLOOKUP(A47,'United Smoothed Indirect Inelig'!A:A,'United Smoothed Indirect Inelig'!P:P)</f>
        <v>#N/A</v>
      </c>
      <c r="BL47" s="10" t="e">
        <f t="shared" si="20"/>
        <v>#N/A</v>
      </c>
      <c r="BM47" s="13">
        <f>_xlfn.XLOOKUP(A47,'Icyte Report'!A:A,'Icyte Report'!BW:BW)</f>
        <v>0</v>
      </c>
      <c r="BN47" s="13" t="e">
        <f>_xlfn.XLOOKUP(A47,'United Smoothed Indirect Inelig'!A:A,'United Smoothed Indirect Inelig'!G:G)+_xlfn.XLOOKUP(A47,'United Smoothed Indirect Inelig'!A:A,'United Smoothed Indirect Inelig'!H:H) + _xlfn.XLOOKUP(A47,'United Smoothed Indirect Inelig'!A:A,'United Smoothed Indirect Inelig'!I:I)+_xlfn.XLOOKUP(A47,'United Smoothed Indirect Inelig'!A:A,'United Smoothed Indirect Inelig'!J:J)</f>
        <v>#N/A</v>
      </c>
      <c r="BO47" s="18" t="e">
        <f t="shared" si="21"/>
        <v>#N/A</v>
      </c>
      <c r="BP47" s="10">
        <f>_xlfn.XLOOKUP(A47,'Icyte Report'!A:A,'Icyte Report'!BY:BY)</f>
        <v>0</v>
      </c>
      <c r="BQ47" s="10" t="e">
        <f>_xlfn.XLOOKUP(A47,'United Smoothed Indirect Inelig'!A:A,'United Smoothed Indirect Inelig'!L:L)+_xlfn.XLOOKUP(A47,'United Smoothed Indirect Inelig'!A:A,'United Smoothed Indirect Inelig'!M:M) + _xlfn.XLOOKUP(A47,'United Smoothed Indirect Inelig'!A:A,'United Smoothed Indirect Inelig'!N:N)+_xlfn.XLOOKUP(A47,'United Smoothed Indirect Inelig'!A:A,'United Smoothed Indirect Inelig'!O:O)</f>
        <v>#N/A</v>
      </c>
      <c r="BR47" s="10" t="e">
        <f t="shared" si="22"/>
        <v>#N/A</v>
      </c>
      <c r="BS47" s="10">
        <f>_xlfn.XLOOKUP(A47,'Icyte Report'!A:A,'Icyte Report'!BZ:BZ)</f>
        <v>0</v>
      </c>
      <c r="BT47" s="10" t="str">
        <f>_xlfn.XLOOKUP(A47,'United MAMP All Components'!A:A,'United MAMP All Components'!AL:AL)</f>
        <v>0.00</v>
      </c>
      <c r="BU47" s="10">
        <f t="shared" si="23"/>
        <v>0</v>
      </c>
      <c r="BV47" s="26">
        <f>_xlfn.XLOOKUP(A47,'Icyte Report'!A:A,'Icyte Report'!CA:CA)</f>
        <v>0</v>
      </c>
      <c r="BW47" s="22" t="str">
        <f>_xlfn.XLOOKUP(A47,'United MAMP All Components'!A:A,'United MAMP All Components'!AM:AM)</f>
        <v>0.00</v>
      </c>
      <c r="BX47" s="10">
        <f t="shared" si="24"/>
        <v>0</v>
      </c>
      <c r="BY47" s="10">
        <f>_xlfn.XLOOKUP(A47,'Icyte Report'!A:A,'Icyte Report'!CD:CD)</f>
        <v>0</v>
      </c>
      <c r="BZ47" s="10" t="str">
        <f>_xlfn.XLOOKUP(A47,'United_Smoothed Price Concessio'!A:A,'United_Smoothed Price Concessio'!D:D)</f>
        <v>$0.00</v>
      </c>
      <c r="CA47" s="10">
        <f t="shared" si="25"/>
        <v>0</v>
      </c>
      <c r="CB47" s="10">
        <f>_xlfn.XLOOKUP(A47,'Icyte Report'!A:A,'Icyte Report'!CF:CF)</f>
        <v>0</v>
      </c>
      <c r="CC47" s="10" t="e">
        <f>_xlfn.XLOOKUP(A47,'United Smoothed Indirect Inelig'!A:A,'United Smoothed Indirect Inelig'!F:F)</f>
        <v>#N/A</v>
      </c>
      <c r="CD47" s="10" t="e">
        <f t="shared" si="26"/>
        <v>#N/A</v>
      </c>
      <c r="CE47" s="10">
        <f>_xlfn.XLOOKUP(A47,'Icyte Report'!A:A,'Icyte Report'!CL:CL)</f>
        <v>0</v>
      </c>
      <c r="CF47" s="10" t="str">
        <f>_xlfn.XLOOKUP(A47,'United_Smoothed Price Concessio'!A:A,'United_Smoothed Price Concessio'!H:H)</f>
        <v>$0.00</v>
      </c>
      <c r="CG47" s="10">
        <f t="shared" si="27"/>
        <v>0</v>
      </c>
      <c r="CH47" s="10">
        <f>_xlfn.XLOOKUP(A47,'Icyte Report'!A:A,'Icyte Report'!CY:CY)</f>
        <v>0</v>
      </c>
      <c r="CI47" s="10" t="str">
        <f>_xlfn.XLOOKUP(A47,'United_Smoothed Price Concessio'!A:A,'United_Smoothed Price Concessio'!C:C)</f>
        <v>$0.00</v>
      </c>
      <c r="CJ47" s="10">
        <f t="shared" si="28"/>
        <v>0</v>
      </c>
      <c r="CK47" s="10">
        <f>_xlfn.XLOOKUP(A47,'Icyte Report'!A:A,'Icyte Report'!CZ:CZ)</f>
        <v>0</v>
      </c>
      <c r="CL47" s="10" t="str">
        <f>_xlfn.XLOOKUP(A47,'United_Smoothed Price Concessio'!A:A,'United_Smoothed Price Concessio'!G:G)</f>
        <v>$0.00</v>
      </c>
      <c r="CM47" s="10">
        <f t="shared" si="29"/>
        <v>0</v>
      </c>
      <c r="CN47" s="13">
        <f>_xlfn.XLOOKUP(A47,'Icyte Report'!A:A,'Icyte Report'!DA:DA)</f>
        <v>0</v>
      </c>
      <c r="CO47" s="13" t="str">
        <f>_xlfn.XLOOKUP(A47,'United_Smoothed Price Concessio'!A:A,'United_Smoothed Price Concessio'!I:I)</f>
        <v>0.000000%</v>
      </c>
      <c r="CP47" s="10">
        <f t="shared" si="30"/>
        <v>0</v>
      </c>
      <c r="CQ47" s="10">
        <f>_xlfn.XLOOKUP(A47,'Icyte Report'!A:A,'Icyte Report'!DB:DB)</f>
        <v>0</v>
      </c>
      <c r="CR47" s="10" t="str">
        <f>_xlfn.XLOOKUP(A47,'United MAMP All Components'!A:A,'United MAMP All Components'!AX:AX)</f>
        <v>0.00</v>
      </c>
      <c r="CS47" s="10">
        <f t="shared" si="31"/>
        <v>0</v>
      </c>
      <c r="CT47" s="10">
        <f>_xlfn.XLOOKUP(A47,'Icyte Report'!A:A,'Icyte Report'!DC:DC)</f>
        <v>0</v>
      </c>
      <c r="CU47" s="10" t="str">
        <f>_xlfn.XLOOKUP(A47,'United MAMP All Components'!A:A,'United MAMP All Components'!BA:BA)</f>
        <v>0.00</v>
      </c>
      <c r="CV47" s="10">
        <f t="shared" si="32"/>
        <v>0</v>
      </c>
      <c r="CW47" s="10">
        <f>_xlfn.XLOOKUP(A47,'Icyte Report'!A:A,'Icyte Report'!DD:DD)</f>
        <v>0</v>
      </c>
      <c r="CX47" s="10" t="str">
        <f>_xlfn.XLOOKUP(A47,'United MAMP All Components'!A:A,'United MAMP All Components'!BD:BD)</f>
        <v>0.00</v>
      </c>
      <c r="CY47" s="10">
        <f t="shared" si="33"/>
        <v>0</v>
      </c>
      <c r="CZ47" s="10">
        <f>_xlfn.XLOOKUP(A47,'Icyte Report'!A:A,'Icyte Report'!DE:DE)</f>
        <v>0</v>
      </c>
      <c r="DA47" s="10" t="str">
        <f>_xlfn.XLOOKUP(A47,'United MAMP All Components'!A:A,'United MAMP All Components'!BE:BE)</f>
        <v>0.00</v>
      </c>
      <c r="DB47" s="10">
        <f t="shared" si="34"/>
        <v>0</v>
      </c>
      <c r="DC47" s="10">
        <f>_xlfn.XLOOKUP(A47,'Icyte Report'!A:A,'Icyte Report'!DI:DI)</f>
        <v>9.9999999999999995E-7</v>
      </c>
      <c r="DD47" s="10" t="str">
        <f>_xlfn.XLOOKUP(A47,'United MAMP All Components'!A:A,'United MAMP All Components'!BG:BG)</f>
        <v>0.000001</v>
      </c>
      <c r="DE47" s="10">
        <f t="shared" si="35"/>
        <v>0</v>
      </c>
    </row>
    <row r="48" spans="1:109" x14ac:dyDescent="0.35">
      <c r="A48" s="10" t="s">
        <v>188</v>
      </c>
      <c r="B48" s="10" t="s">
        <v>459</v>
      </c>
      <c r="C48" s="10">
        <f>_xlfn.XLOOKUP(A48,'Icyte Report'!A:A,'Icyte Report'!W:W)</f>
        <v>0</v>
      </c>
      <c r="D48" s="10" t="str">
        <f>_xlfn.XLOOKUP(A48,'United MAMP All Components'!A:A,'United MAMP All Components'!B:B)</f>
        <v>0.00</v>
      </c>
      <c r="E48" s="10">
        <f t="shared" si="0"/>
        <v>0</v>
      </c>
      <c r="F48" s="10">
        <f>_xlfn.XLOOKUP(A48,'Icyte Report'!A:A,'Icyte Report'!X:X)</f>
        <v>0</v>
      </c>
      <c r="G48" s="10" t="str">
        <f>_xlfn.XLOOKUP(A48,'United MAMP All Components'!A:A,'United MAMP All Components'!C:C)</f>
        <v>0.00</v>
      </c>
      <c r="H48" s="10">
        <f t="shared" si="1"/>
        <v>0</v>
      </c>
      <c r="I48" s="10">
        <f>_xlfn.XLOOKUP(A48,'Icyte Report'!A:A,'Icyte Report'!Y:Y)</f>
        <v>0</v>
      </c>
      <c r="J48" s="10" t="str">
        <f>_xlfn.XLOOKUP(A48,'United MAMP All Components'!A:A,'United MAMP All Components'!E:E)</f>
        <v>0.00</v>
      </c>
      <c r="K48" s="10">
        <f t="shared" si="2"/>
        <v>0</v>
      </c>
      <c r="L48" s="10">
        <f>_xlfn.XLOOKUP(A48,'Icyte Report'!A:A,'Icyte Report'!Z:Z)</f>
        <v>0</v>
      </c>
      <c r="M48" s="10" t="str">
        <f>_xlfn.XLOOKUP(A48,'United MAMP All Components'!A:A,'United MAMP All Components'!F:F)</f>
        <v>0.00</v>
      </c>
      <c r="N48" s="10">
        <f t="shared" si="3"/>
        <v>0</v>
      </c>
      <c r="O48" s="10">
        <f>_xlfn.XLOOKUP(A48,'Icyte Report'!A:A,'Icyte Report'!AA:AA)</f>
        <v>0</v>
      </c>
      <c r="P48" s="10" t="str">
        <f>_xlfn.XLOOKUP(A48,'United MAMP All Components'!A:A,'United MAMP All Components'!H:H)</f>
        <v>0.00</v>
      </c>
      <c r="Q48" s="10">
        <f t="shared" si="4"/>
        <v>0</v>
      </c>
      <c r="R48" s="10">
        <f>_xlfn.XLOOKUP(A48,'Icyte Report'!A:A,'Icyte Report'!AB:AB)</f>
        <v>0</v>
      </c>
      <c r="S48" s="10" t="str">
        <f>_xlfn.XLOOKUP(A48,'United MAMP All Components'!A:A,'United MAMP All Components'!I:I)</f>
        <v>0.00</v>
      </c>
      <c r="T48" s="10">
        <f t="shared" si="5"/>
        <v>0</v>
      </c>
      <c r="U48" s="10">
        <f>_xlfn.XLOOKUP(A48,'Icyte Report'!A:A,'Icyte Report'!AC:AC)</f>
        <v>0</v>
      </c>
      <c r="V48" s="10" t="str">
        <f>_xlfn.XLOOKUP(A48,'United MAMP All Components'!A:A,'United MAMP All Components'!K:K)</f>
        <v>0.00</v>
      </c>
      <c r="W48" s="10">
        <f t="shared" si="6"/>
        <v>0</v>
      </c>
      <c r="X48" s="10">
        <f>_xlfn.XLOOKUP(A48,'Icyte Report'!A:A,'Icyte Report'!AD:AD)</f>
        <v>0</v>
      </c>
      <c r="Y48" s="10" t="str">
        <f>_xlfn.XLOOKUP(A48,'United MAMP All Components'!A:A,'United MAMP All Components'!L:L)</f>
        <v>0.00</v>
      </c>
      <c r="Z48" s="10">
        <f t="shared" si="7"/>
        <v>0</v>
      </c>
      <c r="AA48" s="10">
        <f>_xlfn.XLOOKUP(A48,'Icyte Report'!A:A,'Icyte Report'!AE:AE)</f>
        <v>0</v>
      </c>
      <c r="AB48" s="10" t="str">
        <f>_xlfn.XLOOKUP(A48,'United MAMP All Components'!A:A,'United MAMP All Components'!N:N)</f>
        <v>0.00</v>
      </c>
      <c r="AC48" s="10">
        <f t="shared" si="8"/>
        <v>0</v>
      </c>
      <c r="AD48" s="10">
        <f>_xlfn.XLOOKUP(A48,'Icyte Report'!A:A,'Icyte Report'!AF:AF)</f>
        <v>0</v>
      </c>
      <c r="AE48" s="10" t="str">
        <f>_xlfn.XLOOKUP(A48,'United MAMP All Components'!A:A,'United MAMP All Components'!O:O)</f>
        <v>0.00</v>
      </c>
      <c r="AF48" s="10">
        <f t="shared" si="9"/>
        <v>0</v>
      </c>
      <c r="AG48" s="10">
        <f>_xlfn.XLOOKUP(A48,'Icyte Report'!A:A,'Icyte Report'!AG:AG)</f>
        <v>0</v>
      </c>
      <c r="AH48" s="10" t="str">
        <f>_xlfn.XLOOKUP(A48,'United MAMP All Components'!A:A,'United MAMP All Components'!Q:Q)</f>
        <v>0.00</v>
      </c>
      <c r="AI48" s="10">
        <f t="shared" si="10"/>
        <v>0</v>
      </c>
      <c r="AJ48" s="10">
        <f>_xlfn.XLOOKUP(A48,'Icyte Report'!A:A,'Icyte Report'!AH:AH)</f>
        <v>0</v>
      </c>
      <c r="AK48" s="10" t="str">
        <f>_xlfn.XLOOKUP(A48,'United MAMP All Components'!A:A,'United MAMP All Components'!R:R)</f>
        <v>0.00</v>
      </c>
      <c r="AL48" s="10">
        <f t="shared" si="11"/>
        <v>0</v>
      </c>
      <c r="AM48" s="10">
        <f>_xlfn.XLOOKUP(A48,'Icyte Report'!A:A,'Icyte Report'!AS:AS)</f>
        <v>0</v>
      </c>
      <c r="AN48" s="10" t="str">
        <f>_xlfn.XLOOKUP(A48,'United MAMP All Components'!A:A,'United MAMP All Components'!T:T)</f>
        <v>0.00</v>
      </c>
      <c r="AO48" s="10">
        <f t="shared" si="12"/>
        <v>0</v>
      </c>
      <c r="AP48" s="10">
        <f>_xlfn.XLOOKUP(A48,'Icyte Report'!A:A,'Icyte Report'!AT:AT)</f>
        <v>0</v>
      </c>
      <c r="AQ48" s="10" t="str">
        <f>_xlfn.XLOOKUP(A48,'United MAMP All Components'!A:A,'United MAMP All Components'!U:U)</f>
        <v>0.00</v>
      </c>
      <c r="AR48" s="10">
        <f t="shared" si="13"/>
        <v>0</v>
      </c>
      <c r="AS48" s="10">
        <f>_xlfn.XLOOKUP(A48,'Icyte Report'!A:A,'Icyte Report'!AU:AU)</f>
        <v>0</v>
      </c>
      <c r="AT48" s="10" t="str">
        <f>_xlfn.XLOOKUP(A48,'United MAMP All Components'!A:A,'United MAMP All Components'!AO:AO)</f>
        <v>0.00</v>
      </c>
      <c r="AU48" s="10">
        <f t="shared" si="14"/>
        <v>0</v>
      </c>
      <c r="AV48" s="10">
        <f>_xlfn.XLOOKUP(A48,'Icyte Report'!A:A,'Icyte Report'!AV:AV)</f>
        <v>0</v>
      </c>
      <c r="AW48" s="10" t="str">
        <f>_xlfn.XLOOKUP(A48,'United MAMP All Components'!A:A,'United MAMP All Components'!AP:AP)</f>
        <v>0.00</v>
      </c>
      <c r="AX48" s="10">
        <f t="shared" si="15"/>
        <v>0</v>
      </c>
      <c r="AY48" s="10">
        <f>_xlfn.XLOOKUP(A48,'Icyte Report'!A:A,'Icyte Report'!BH:BH)</f>
        <v>0</v>
      </c>
      <c r="AZ48" s="10" t="e">
        <f>_xlfn.XLOOKUP(A48,'United Smoothed Indirect Inelig'!A:A,'United Smoothed Indirect Inelig'!D:D)</f>
        <v>#N/A</v>
      </c>
      <c r="BA48" s="10" t="e">
        <f t="shared" si="16"/>
        <v>#N/A</v>
      </c>
      <c r="BB48" s="10">
        <f>_xlfn.XLOOKUP(A48,'Icyte Report'!A:A,'Icyte Report'!BK:BK)</f>
        <v>0</v>
      </c>
      <c r="BC48" s="10" t="e">
        <f t="shared" si="17"/>
        <v>#N/A</v>
      </c>
      <c r="BD48" s="10">
        <f>_xlfn.XLOOKUP(A48,'Icyte Report'!A:A,'Icyte Report'!BN:BN)</f>
        <v>0</v>
      </c>
      <c r="BE48" s="10" t="e">
        <f>_xlfn.XLOOKUP(A48,'United Smoothed Indirect Inelig'!A:A,'United Smoothed Indirect Inelig'!C:C)</f>
        <v>#N/A</v>
      </c>
      <c r="BF48" s="10" t="e">
        <f t="shared" si="18"/>
        <v>#N/A</v>
      </c>
      <c r="BG48" s="10">
        <f>_xlfn.XLOOKUP(A48,'Icyte Report'!A:A,'Icyte Report'!BR:BR)</f>
        <v>0</v>
      </c>
      <c r="BH48" s="10" t="e">
        <f>_xlfn.XLOOKUP(A48,'United Smoothed Indirect Inelig'!A:A,'United Smoothed Indirect Inelig'!B:B)</f>
        <v>#N/A</v>
      </c>
      <c r="BI48" s="10" t="e">
        <f t="shared" si="19"/>
        <v>#N/A</v>
      </c>
      <c r="BJ48" s="10">
        <f>_xlfn.XLOOKUP(A48,'Icyte Report'!A:A,'Icyte Report'!BV:BV)</f>
        <v>0</v>
      </c>
      <c r="BK48" s="10" t="e">
        <f>_xlfn.XLOOKUP(A48,'United Smoothed Indirect Inelig'!A:A,'United Smoothed Indirect Inelig'!P:P)</f>
        <v>#N/A</v>
      </c>
      <c r="BL48" s="10" t="e">
        <f t="shared" si="20"/>
        <v>#N/A</v>
      </c>
      <c r="BM48" s="13">
        <f>_xlfn.XLOOKUP(A48,'Icyte Report'!A:A,'Icyte Report'!BW:BW)</f>
        <v>0</v>
      </c>
      <c r="BN48" s="13" t="e">
        <f>_xlfn.XLOOKUP(A48,'United Smoothed Indirect Inelig'!A:A,'United Smoothed Indirect Inelig'!G:G)+_xlfn.XLOOKUP(A48,'United Smoothed Indirect Inelig'!A:A,'United Smoothed Indirect Inelig'!H:H) + _xlfn.XLOOKUP(A48,'United Smoothed Indirect Inelig'!A:A,'United Smoothed Indirect Inelig'!I:I)+_xlfn.XLOOKUP(A48,'United Smoothed Indirect Inelig'!A:A,'United Smoothed Indirect Inelig'!J:J)</f>
        <v>#N/A</v>
      </c>
      <c r="BO48" s="18" t="e">
        <f t="shared" si="21"/>
        <v>#N/A</v>
      </c>
      <c r="BP48" s="10">
        <f>_xlfn.XLOOKUP(A48,'Icyte Report'!A:A,'Icyte Report'!BY:BY)</f>
        <v>0</v>
      </c>
      <c r="BQ48" s="10" t="e">
        <f>_xlfn.XLOOKUP(A48,'United Smoothed Indirect Inelig'!A:A,'United Smoothed Indirect Inelig'!L:L)+_xlfn.XLOOKUP(A48,'United Smoothed Indirect Inelig'!A:A,'United Smoothed Indirect Inelig'!M:M) + _xlfn.XLOOKUP(A48,'United Smoothed Indirect Inelig'!A:A,'United Smoothed Indirect Inelig'!N:N)+_xlfn.XLOOKUP(A48,'United Smoothed Indirect Inelig'!A:A,'United Smoothed Indirect Inelig'!O:O)</f>
        <v>#N/A</v>
      </c>
      <c r="BR48" s="10" t="e">
        <f t="shared" si="22"/>
        <v>#N/A</v>
      </c>
      <c r="BS48" s="10">
        <f>_xlfn.XLOOKUP(A48,'Icyte Report'!A:A,'Icyte Report'!BZ:BZ)</f>
        <v>0</v>
      </c>
      <c r="BT48" s="10" t="str">
        <f>_xlfn.XLOOKUP(A48,'United MAMP All Components'!A:A,'United MAMP All Components'!AL:AL)</f>
        <v>0.00</v>
      </c>
      <c r="BU48" s="10">
        <f t="shared" si="23"/>
        <v>0</v>
      </c>
      <c r="BV48" s="26">
        <f>_xlfn.XLOOKUP(A48,'Icyte Report'!A:A,'Icyte Report'!CA:CA)</f>
        <v>0</v>
      </c>
      <c r="BW48" s="22" t="str">
        <f>_xlfn.XLOOKUP(A48,'United MAMP All Components'!A:A,'United MAMP All Components'!AM:AM)</f>
        <v>0.00</v>
      </c>
      <c r="BX48" s="10">
        <f t="shared" si="24"/>
        <v>0</v>
      </c>
      <c r="BY48" s="10">
        <f>_xlfn.XLOOKUP(A48,'Icyte Report'!A:A,'Icyte Report'!CD:CD)</f>
        <v>0</v>
      </c>
      <c r="BZ48" s="10" t="str">
        <f>_xlfn.XLOOKUP(A48,'United_Smoothed Price Concessio'!A:A,'United_Smoothed Price Concessio'!D:D)</f>
        <v>$0.00</v>
      </c>
      <c r="CA48" s="10">
        <f t="shared" si="25"/>
        <v>0</v>
      </c>
      <c r="CB48" s="10">
        <f>_xlfn.XLOOKUP(A48,'Icyte Report'!A:A,'Icyte Report'!CF:CF)</f>
        <v>0</v>
      </c>
      <c r="CC48" s="10" t="e">
        <f>_xlfn.XLOOKUP(A48,'United Smoothed Indirect Inelig'!A:A,'United Smoothed Indirect Inelig'!F:F)</f>
        <v>#N/A</v>
      </c>
      <c r="CD48" s="10" t="e">
        <f t="shared" si="26"/>
        <v>#N/A</v>
      </c>
      <c r="CE48" s="10">
        <f>_xlfn.XLOOKUP(A48,'Icyte Report'!A:A,'Icyte Report'!CL:CL)</f>
        <v>0</v>
      </c>
      <c r="CF48" s="10" t="str">
        <f>_xlfn.XLOOKUP(A48,'United_Smoothed Price Concessio'!A:A,'United_Smoothed Price Concessio'!H:H)</f>
        <v>$0.00</v>
      </c>
      <c r="CG48" s="10">
        <f t="shared" si="27"/>
        <v>0</v>
      </c>
      <c r="CH48" s="10">
        <f>_xlfn.XLOOKUP(A48,'Icyte Report'!A:A,'Icyte Report'!CY:CY)</f>
        <v>0</v>
      </c>
      <c r="CI48" s="10" t="str">
        <f>_xlfn.XLOOKUP(A48,'United_Smoothed Price Concessio'!A:A,'United_Smoothed Price Concessio'!C:C)</f>
        <v>$0.00</v>
      </c>
      <c r="CJ48" s="10">
        <f t="shared" si="28"/>
        <v>0</v>
      </c>
      <c r="CK48" s="10">
        <f>_xlfn.XLOOKUP(A48,'Icyte Report'!A:A,'Icyte Report'!CZ:CZ)</f>
        <v>0</v>
      </c>
      <c r="CL48" s="10" t="str">
        <f>_xlfn.XLOOKUP(A48,'United_Smoothed Price Concessio'!A:A,'United_Smoothed Price Concessio'!G:G)</f>
        <v>$0.00</v>
      </c>
      <c r="CM48" s="10">
        <f t="shared" si="29"/>
        <v>0</v>
      </c>
      <c r="CN48" s="13">
        <f>_xlfn.XLOOKUP(A48,'Icyte Report'!A:A,'Icyte Report'!DA:DA)</f>
        <v>0</v>
      </c>
      <c r="CO48" s="13" t="str">
        <f>_xlfn.XLOOKUP(A48,'United_Smoothed Price Concessio'!A:A,'United_Smoothed Price Concessio'!I:I)</f>
        <v>0.000000%</v>
      </c>
      <c r="CP48" s="10">
        <f t="shared" si="30"/>
        <v>0</v>
      </c>
      <c r="CQ48" s="10">
        <f>_xlfn.XLOOKUP(A48,'Icyte Report'!A:A,'Icyte Report'!DB:DB)</f>
        <v>0</v>
      </c>
      <c r="CR48" s="10" t="str">
        <f>_xlfn.XLOOKUP(A48,'United MAMP All Components'!A:A,'United MAMP All Components'!AX:AX)</f>
        <v>0.00</v>
      </c>
      <c r="CS48" s="10">
        <f t="shared" si="31"/>
        <v>0</v>
      </c>
      <c r="CT48" s="10">
        <f>_xlfn.XLOOKUP(A48,'Icyte Report'!A:A,'Icyte Report'!DC:DC)</f>
        <v>0</v>
      </c>
      <c r="CU48" s="10" t="str">
        <f>_xlfn.XLOOKUP(A48,'United MAMP All Components'!A:A,'United MAMP All Components'!BA:BA)</f>
        <v>0.00</v>
      </c>
      <c r="CV48" s="10">
        <f t="shared" si="32"/>
        <v>0</v>
      </c>
      <c r="CW48" s="10">
        <f>_xlfn.XLOOKUP(A48,'Icyte Report'!A:A,'Icyte Report'!DD:DD)</f>
        <v>0</v>
      </c>
      <c r="CX48" s="10" t="str">
        <f>_xlfn.XLOOKUP(A48,'United MAMP All Components'!A:A,'United MAMP All Components'!BD:BD)</f>
        <v>0.00</v>
      </c>
      <c r="CY48" s="10">
        <f t="shared" si="33"/>
        <v>0</v>
      </c>
      <c r="CZ48" s="10">
        <f>_xlfn.XLOOKUP(A48,'Icyte Report'!A:A,'Icyte Report'!DE:DE)</f>
        <v>0</v>
      </c>
      <c r="DA48" s="10" t="str">
        <f>_xlfn.XLOOKUP(A48,'United MAMP All Components'!A:A,'United MAMP All Components'!BE:BE)</f>
        <v>0.00</v>
      </c>
      <c r="DB48" s="10">
        <f t="shared" si="34"/>
        <v>0</v>
      </c>
      <c r="DC48" s="10">
        <f>_xlfn.XLOOKUP(A48,'Icyte Report'!A:A,'Icyte Report'!DI:DI)</f>
        <v>9.9999999999999995E-7</v>
      </c>
      <c r="DD48" s="10" t="str">
        <f>_xlfn.XLOOKUP(A48,'United MAMP All Components'!A:A,'United MAMP All Components'!BG:BG)</f>
        <v>0.000001</v>
      </c>
      <c r="DE48" s="10">
        <f t="shared" si="35"/>
        <v>0</v>
      </c>
    </row>
    <row r="49" spans="1:109" x14ac:dyDescent="0.35">
      <c r="A49" s="10" t="s">
        <v>189</v>
      </c>
      <c r="B49" s="10" t="s">
        <v>460</v>
      </c>
      <c r="C49" s="10">
        <f>_xlfn.XLOOKUP(A49,'Icyte Report'!A:A,'Icyte Report'!W:W)</f>
        <v>0</v>
      </c>
      <c r="D49" s="10" t="str">
        <f>_xlfn.XLOOKUP(A49,'United MAMP All Components'!A:A,'United MAMP All Components'!B:B)</f>
        <v>0.00</v>
      </c>
      <c r="E49" s="10">
        <f t="shared" si="0"/>
        <v>0</v>
      </c>
      <c r="F49" s="10">
        <f>_xlfn.XLOOKUP(A49,'Icyte Report'!A:A,'Icyte Report'!X:X)</f>
        <v>0</v>
      </c>
      <c r="G49" s="10" t="str">
        <f>_xlfn.XLOOKUP(A49,'United MAMP All Components'!A:A,'United MAMP All Components'!C:C)</f>
        <v>0.00</v>
      </c>
      <c r="H49" s="10">
        <f t="shared" si="1"/>
        <v>0</v>
      </c>
      <c r="I49" s="10">
        <f>_xlfn.XLOOKUP(A49,'Icyte Report'!A:A,'Icyte Report'!Y:Y)</f>
        <v>0</v>
      </c>
      <c r="J49" s="10" t="str">
        <f>_xlfn.XLOOKUP(A49,'United MAMP All Components'!A:A,'United MAMP All Components'!E:E)</f>
        <v>0.00</v>
      </c>
      <c r="K49" s="10">
        <f t="shared" si="2"/>
        <v>0</v>
      </c>
      <c r="L49" s="10">
        <f>_xlfn.XLOOKUP(A49,'Icyte Report'!A:A,'Icyte Report'!Z:Z)</f>
        <v>0</v>
      </c>
      <c r="M49" s="10" t="str">
        <f>_xlfn.XLOOKUP(A49,'United MAMP All Components'!A:A,'United MAMP All Components'!F:F)</f>
        <v>0.00</v>
      </c>
      <c r="N49" s="10">
        <f t="shared" si="3"/>
        <v>0</v>
      </c>
      <c r="O49" s="10">
        <f>_xlfn.XLOOKUP(A49,'Icyte Report'!A:A,'Icyte Report'!AA:AA)</f>
        <v>0</v>
      </c>
      <c r="P49" s="10" t="str">
        <f>_xlfn.XLOOKUP(A49,'United MAMP All Components'!A:A,'United MAMP All Components'!H:H)</f>
        <v>0.00</v>
      </c>
      <c r="Q49" s="10">
        <f t="shared" si="4"/>
        <v>0</v>
      </c>
      <c r="R49" s="10">
        <f>_xlfn.XLOOKUP(A49,'Icyte Report'!A:A,'Icyte Report'!AB:AB)</f>
        <v>0</v>
      </c>
      <c r="S49" s="10" t="str">
        <f>_xlfn.XLOOKUP(A49,'United MAMP All Components'!A:A,'United MAMP All Components'!I:I)</f>
        <v>0.00</v>
      </c>
      <c r="T49" s="10">
        <f t="shared" si="5"/>
        <v>0</v>
      </c>
      <c r="U49" s="10">
        <f>_xlfn.XLOOKUP(A49,'Icyte Report'!A:A,'Icyte Report'!AC:AC)</f>
        <v>0</v>
      </c>
      <c r="V49" s="10" t="str">
        <f>_xlfn.XLOOKUP(A49,'United MAMP All Components'!A:A,'United MAMP All Components'!K:K)</f>
        <v>0.00</v>
      </c>
      <c r="W49" s="10">
        <f t="shared" si="6"/>
        <v>0</v>
      </c>
      <c r="X49" s="10">
        <f>_xlfn.XLOOKUP(A49,'Icyte Report'!A:A,'Icyte Report'!AD:AD)</f>
        <v>0</v>
      </c>
      <c r="Y49" s="10" t="str">
        <f>_xlfn.XLOOKUP(A49,'United MAMP All Components'!A:A,'United MAMP All Components'!L:L)</f>
        <v>0.00</v>
      </c>
      <c r="Z49" s="10">
        <f t="shared" si="7"/>
        <v>0</v>
      </c>
      <c r="AA49" s="10">
        <f>_xlfn.XLOOKUP(A49,'Icyte Report'!A:A,'Icyte Report'!AE:AE)</f>
        <v>0</v>
      </c>
      <c r="AB49" s="10" t="str">
        <f>_xlfn.XLOOKUP(A49,'United MAMP All Components'!A:A,'United MAMP All Components'!N:N)</f>
        <v>0.00</v>
      </c>
      <c r="AC49" s="10">
        <f t="shared" si="8"/>
        <v>0</v>
      </c>
      <c r="AD49" s="10">
        <f>_xlfn.XLOOKUP(A49,'Icyte Report'!A:A,'Icyte Report'!AF:AF)</f>
        <v>0</v>
      </c>
      <c r="AE49" s="10" t="str">
        <f>_xlfn.XLOOKUP(A49,'United MAMP All Components'!A:A,'United MAMP All Components'!O:O)</f>
        <v>0.00</v>
      </c>
      <c r="AF49" s="10">
        <f t="shared" si="9"/>
        <v>0</v>
      </c>
      <c r="AG49" s="10">
        <f>_xlfn.XLOOKUP(A49,'Icyte Report'!A:A,'Icyte Report'!AG:AG)</f>
        <v>0</v>
      </c>
      <c r="AH49" s="10" t="str">
        <f>_xlfn.XLOOKUP(A49,'United MAMP All Components'!A:A,'United MAMP All Components'!Q:Q)</f>
        <v>0.00</v>
      </c>
      <c r="AI49" s="10">
        <f t="shared" si="10"/>
        <v>0</v>
      </c>
      <c r="AJ49" s="10">
        <f>_xlfn.XLOOKUP(A49,'Icyte Report'!A:A,'Icyte Report'!AH:AH)</f>
        <v>0</v>
      </c>
      <c r="AK49" s="10" t="str">
        <f>_xlfn.XLOOKUP(A49,'United MAMP All Components'!A:A,'United MAMP All Components'!R:R)</f>
        <v>0.00</v>
      </c>
      <c r="AL49" s="10">
        <f t="shared" si="11"/>
        <v>0</v>
      </c>
      <c r="AM49" s="10">
        <f>_xlfn.XLOOKUP(A49,'Icyte Report'!A:A,'Icyte Report'!AS:AS)</f>
        <v>0</v>
      </c>
      <c r="AN49" s="10" t="str">
        <f>_xlfn.XLOOKUP(A49,'United MAMP All Components'!A:A,'United MAMP All Components'!T:T)</f>
        <v>0.00</v>
      </c>
      <c r="AO49" s="10">
        <f t="shared" si="12"/>
        <v>0</v>
      </c>
      <c r="AP49" s="10">
        <f>_xlfn.XLOOKUP(A49,'Icyte Report'!A:A,'Icyte Report'!AT:AT)</f>
        <v>0</v>
      </c>
      <c r="AQ49" s="10" t="str">
        <f>_xlfn.XLOOKUP(A49,'United MAMP All Components'!A:A,'United MAMP All Components'!U:U)</f>
        <v>0.00</v>
      </c>
      <c r="AR49" s="10">
        <f t="shared" si="13"/>
        <v>0</v>
      </c>
      <c r="AS49" s="10">
        <f>_xlfn.XLOOKUP(A49,'Icyte Report'!A:A,'Icyte Report'!AU:AU)</f>
        <v>0</v>
      </c>
      <c r="AT49" s="10" t="str">
        <f>_xlfn.XLOOKUP(A49,'United MAMP All Components'!A:A,'United MAMP All Components'!AO:AO)</f>
        <v>0.00</v>
      </c>
      <c r="AU49" s="10">
        <f t="shared" si="14"/>
        <v>0</v>
      </c>
      <c r="AV49" s="10">
        <f>_xlfn.XLOOKUP(A49,'Icyte Report'!A:A,'Icyte Report'!AV:AV)</f>
        <v>0</v>
      </c>
      <c r="AW49" s="10" t="str">
        <f>_xlfn.XLOOKUP(A49,'United MAMP All Components'!A:A,'United MAMP All Components'!AP:AP)</f>
        <v>0.00</v>
      </c>
      <c r="AX49" s="10">
        <f t="shared" si="15"/>
        <v>0</v>
      </c>
      <c r="AY49" s="10">
        <f>_xlfn.XLOOKUP(A49,'Icyte Report'!A:A,'Icyte Report'!BH:BH)</f>
        <v>0</v>
      </c>
      <c r="AZ49" s="10" t="e">
        <f>_xlfn.XLOOKUP(A49,'United Smoothed Indirect Inelig'!A:A,'United Smoothed Indirect Inelig'!D:D)</f>
        <v>#N/A</v>
      </c>
      <c r="BA49" s="10" t="e">
        <f t="shared" si="16"/>
        <v>#N/A</v>
      </c>
      <c r="BB49" s="10">
        <f>_xlfn.XLOOKUP(A49,'Icyte Report'!A:A,'Icyte Report'!BK:BK)</f>
        <v>0</v>
      </c>
      <c r="BC49" s="10" t="e">
        <f t="shared" si="17"/>
        <v>#N/A</v>
      </c>
      <c r="BD49" s="10">
        <f>_xlfn.XLOOKUP(A49,'Icyte Report'!A:A,'Icyte Report'!BN:BN)</f>
        <v>0</v>
      </c>
      <c r="BE49" s="10" t="e">
        <f>_xlfn.XLOOKUP(A49,'United Smoothed Indirect Inelig'!A:A,'United Smoothed Indirect Inelig'!C:C)</f>
        <v>#N/A</v>
      </c>
      <c r="BF49" s="10" t="e">
        <f t="shared" si="18"/>
        <v>#N/A</v>
      </c>
      <c r="BG49" s="10">
        <f>_xlfn.XLOOKUP(A49,'Icyte Report'!A:A,'Icyte Report'!BR:BR)</f>
        <v>0</v>
      </c>
      <c r="BH49" s="10" t="e">
        <f>_xlfn.XLOOKUP(A49,'United Smoothed Indirect Inelig'!A:A,'United Smoothed Indirect Inelig'!B:B)</f>
        <v>#N/A</v>
      </c>
      <c r="BI49" s="10" t="e">
        <f t="shared" si="19"/>
        <v>#N/A</v>
      </c>
      <c r="BJ49" s="10">
        <f>_xlfn.XLOOKUP(A49,'Icyte Report'!A:A,'Icyte Report'!BV:BV)</f>
        <v>0</v>
      </c>
      <c r="BK49" s="10" t="e">
        <f>_xlfn.XLOOKUP(A49,'United Smoothed Indirect Inelig'!A:A,'United Smoothed Indirect Inelig'!P:P)</f>
        <v>#N/A</v>
      </c>
      <c r="BL49" s="10" t="e">
        <f t="shared" si="20"/>
        <v>#N/A</v>
      </c>
      <c r="BM49" s="13">
        <f>_xlfn.XLOOKUP(A49,'Icyte Report'!A:A,'Icyte Report'!BW:BW)</f>
        <v>0</v>
      </c>
      <c r="BN49" s="13" t="e">
        <f>_xlfn.XLOOKUP(A49,'United Smoothed Indirect Inelig'!A:A,'United Smoothed Indirect Inelig'!G:G)+_xlfn.XLOOKUP(A49,'United Smoothed Indirect Inelig'!A:A,'United Smoothed Indirect Inelig'!H:H) + _xlfn.XLOOKUP(A49,'United Smoothed Indirect Inelig'!A:A,'United Smoothed Indirect Inelig'!I:I)+_xlfn.XLOOKUP(A49,'United Smoothed Indirect Inelig'!A:A,'United Smoothed Indirect Inelig'!J:J)</f>
        <v>#N/A</v>
      </c>
      <c r="BO49" s="18" t="e">
        <f t="shared" si="21"/>
        <v>#N/A</v>
      </c>
      <c r="BP49" s="10">
        <f>_xlfn.XLOOKUP(A49,'Icyte Report'!A:A,'Icyte Report'!BY:BY)</f>
        <v>0</v>
      </c>
      <c r="BQ49" s="10" t="e">
        <f>_xlfn.XLOOKUP(A49,'United Smoothed Indirect Inelig'!A:A,'United Smoothed Indirect Inelig'!L:L)+_xlfn.XLOOKUP(A49,'United Smoothed Indirect Inelig'!A:A,'United Smoothed Indirect Inelig'!M:M) + _xlfn.XLOOKUP(A49,'United Smoothed Indirect Inelig'!A:A,'United Smoothed Indirect Inelig'!N:N)+_xlfn.XLOOKUP(A49,'United Smoothed Indirect Inelig'!A:A,'United Smoothed Indirect Inelig'!O:O)</f>
        <v>#N/A</v>
      </c>
      <c r="BR49" s="10" t="e">
        <f t="shared" si="22"/>
        <v>#N/A</v>
      </c>
      <c r="BS49" s="10">
        <f>_xlfn.XLOOKUP(A49,'Icyte Report'!A:A,'Icyte Report'!BZ:BZ)</f>
        <v>0</v>
      </c>
      <c r="BT49" s="10" t="str">
        <f>_xlfn.XLOOKUP(A49,'United MAMP All Components'!A:A,'United MAMP All Components'!AL:AL)</f>
        <v>0.00</v>
      </c>
      <c r="BU49" s="10">
        <f t="shared" si="23"/>
        <v>0</v>
      </c>
      <c r="BV49" s="26">
        <f>_xlfn.XLOOKUP(A49,'Icyte Report'!A:A,'Icyte Report'!CA:CA)</f>
        <v>0</v>
      </c>
      <c r="BW49" s="22" t="str">
        <f>_xlfn.XLOOKUP(A49,'United MAMP All Components'!A:A,'United MAMP All Components'!AM:AM)</f>
        <v>0.00</v>
      </c>
      <c r="BX49" s="10">
        <f t="shared" si="24"/>
        <v>0</v>
      </c>
      <c r="BY49" s="10">
        <f>_xlfn.XLOOKUP(A49,'Icyte Report'!A:A,'Icyte Report'!CD:CD)</f>
        <v>0</v>
      </c>
      <c r="BZ49" s="10" t="str">
        <f>_xlfn.XLOOKUP(A49,'United_Smoothed Price Concessio'!A:A,'United_Smoothed Price Concessio'!D:D)</f>
        <v>$0.00</v>
      </c>
      <c r="CA49" s="10">
        <f t="shared" si="25"/>
        <v>0</v>
      </c>
      <c r="CB49" s="10">
        <f>_xlfn.XLOOKUP(A49,'Icyte Report'!A:A,'Icyte Report'!CF:CF)</f>
        <v>0</v>
      </c>
      <c r="CC49" s="10" t="e">
        <f>_xlfn.XLOOKUP(A49,'United Smoothed Indirect Inelig'!A:A,'United Smoothed Indirect Inelig'!F:F)</f>
        <v>#N/A</v>
      </c>
      <c r="CD49" s="10" t="e">
        <f t="shared" si="26"/>
        <v>#N/A</v>
      </c>
      <c r="CE49" s="10">
        <f>_xlfn.XLOOKUP(A49,'Icyte Report'!A:A,'Icyte Report'!CL:CL)</f>
        <v>0</v>
      </c>
      <c r="CF49" s="10" t="str">
        <f>_xlfn.XLOOKUP(A49,'United_Smoothed Price Concessio'!A:A,'United_Smoothed Price Concessio'!H:H)</f>
        <v>$0.00</v>
      </c>
      <c r="CG49" s="10">
        <f t="shared" si="27"/>
        <v>0</v>
      </c>
      <c r="CH49" s="10">
        <f>_xlfn.XLOOKUP(A49,'Icyte Report'!A:A,'Icyte Report'!CY:CY)</f>
        <v>0</v>
      </c>
      <c r="CI49" s="10" t="str">
        <f>_xlfn.XLOOKUP(A49,'United_Smoothed Price Concessio'!A:A,'United_Smoothed Price Concessio'!C:C)</f>
        <v>$0.00</v>
      </c>
      <c r="CJ49" s="10">
        <f t="shared" si="28"/>
        <v>0</v>
      </c>
      <c r="CK49" s="10">
        <f>_xlfn.XLOOKUP(A49,'Icyte Report'!A:A,'Icyte Report'!CZ:CZ)</f>
        <v>0</v>
      </c>
      <c r="CL49" s="10" t="str">
        <f>_xlfn.XLOOKUP(A49,'United_Smoothed Price Concessio'!A:A,'United_Smoothed Price Concessio'!G:G)</f>
        <v>$0.00</v>
      </c>
      <c r="CM49" s="10">
        <f t="shared" si="29"/>
        <v>0</v>
      </c>
      <c r="CN49" s="13">
        <f>_xlfn.XLOOKUP(A49,'Icyte Report'!A:A,'Icyte Report'!DA:DA)</f>
        <v>0</v>
      </c>
      <c r="CO49" s="13" t="str">
        <f>_xlfn.XLOOKUP(A49,'United_Smoothed Price Concessio'!A:A,'United_Smoothed Price Concessio'!I:I)</f>
        <v>0.000000%</v>
      </c>
      <c r="CP49" s="10">
        <f t="shared" si="30"/>
        <v>0</v>
      </c>
      <c r="CQ49" s="10">
        <f>_xlfn.XLOOKUP(A49,'Icyte Report'!A:A,'Icyte Report'!DB:DB)</f>
        <v>0</v>
      </c>
      <c r="CR49" s="10" t="str">
        <f>_xlfn.XLOOKUP(A49,'United MAMP All Components'!A:A,'United MAMP All Components'!AX:AX)</f>
        <v>0.00</v>
      </c>
      <c r="CS49" s="10">
        <f t="shared" si="31"/>
        <v>0</v>
      </c>
      <c r="CT49" s="10">
        <f>_xlfn.XLOOKUP(A49,'Icyte Report'!A:A,'Icyte Report'!DC:DC)</f>
        <v>0</v>
      </c>
      <c r="CU49" s="10" t="str">
        <f>_xlfn.XLOOKUP(A49,'United MAMP All Components'!A:A,'United MAMP All Components'!BA:BA)</f>
        <v>0.00</v>
      </c>
      <c r="CV49" s="10">
        <f t="shared" si="32"/>
        <v>0</v>
      </c>
      <c r="CW49" s="10">
        <f>_xlfn.XLOOKUP(A49,'Icyte Report'!A:A,'Icyte Report'!DD:DD)</f>
        <v>0</v>
      </c>
      <c r="CX49" s="10" t="str">
        <f>_xlfn.XLOOKUP(A49,'United MAMP All Components'!A:A,'United MAMP All Components'!BD:BD)</f>
        <v>0.00</v>
      </c>
      <c r="CY49" s="10">
        <f t="shared" si="33"/>
        <v>0</v>
      </c>
      <c r="CZ49" s="10">
        <f>_xlfn.XLOOKUP(A49,'Icyte Report'!A:A,'Icyte Report'!DE:DE)</f>
        <v>0</v>
      </c>
      <c r="DA49" s="10" t="str">
        <f>_xlfn.XLOOKUP(A49,'United MAMP All Components'!A:A,'United MAMP All Components'!BE:BE)</f>
        <v>0.00</v>
      </c>
      <c r="DB49" s="10">
        <f t="shared" si="34"/>
        <v>0</v>
      </c>
      <c r="DC49" s="10">
        <f>_xlfn.XLOOKUP(A49,'Icyte Report'!A:A,'Icyte Report'!DI:DI)</f>
        <v>9.9999999999999995E-7</v>
      </c>
      <c r="DD49" s="10" t="str">
        <f>_xlfn.XLOOKUP(A49,'United MAMP All Components'!A:A,'United MAMP All Components'!BG:BG)</f>
        <v>0.000001</v>
      </c>
      <c r="DE49" s="10">
        <f t="shared" si="35"/>
        <v>0</v>
      </c>
    </row>
    <row r="50" spans="1:109" x14ac:dyDescent="0.35">
      <c r="A50" s="10" t="s">
        <v>157</v>
      </c>
      <c r="B50" s="10" t="s">
        <v>430</v>
      </c>
      <c r="C50" s="10">
        <f>_xlfn.XLOOKUP(A50,'Icyte Report'!A:A,'Icyte Report'!W:W)</f>
        <v>0</v>
      </c>
      <c r="D50" s="10" t="str">
        <f>_xlfn.XLOOKUP(A50,'United MAMP All Components'!A:A,'United MAMP All Components'!B:B)</f>
        <v>0.00</v>
      </c>
      <c r="E50" s="10">
        <f t="shared" si="0"/>
        <v>0</v>
      </c>
      <c r="F50" s="10">
        <f>_xlfn.XLOOKUP(A50,'Icyte Report'!A:A,'Icyte Report'!X:X)</f>
        <v>0</v>
      </c>
      <c r="G50" s="10" t="str">
        <f>_xlfn.XLOOKUP(A50,'United MAMP All Components'!A:A,'United MAMP All Components'!C:C)</f>
        <v>0.00</v>
      </c>
      <c r="H50" s="10">
        <f t="shared" si="1"/>
        <v>0</v>
      </c>
      <c r="I50" s="10">
        <f>_xlfn.XLOOKUP(A50,'Icyte Report'!A:A,'Icyte Report'!Y:Y)</f>
        <v>0</v>
      </c>
      <c r="J50" s="10" t="str">
        <f>_xlfn.XLOOKUP(A50,'United MAMP All Components'!A:A,'United MAMP All Components'!E:E)</f>
        <v>0.00</v>
      </c>
      <c r="K50" s="10">
        <f t="shared" si="2"/>
        <v>0</v>
      </c>
      <c r="L50" s="10">
        <f>_xlfn.XLOOKUP(A50,'Icyte Report'!A:A,'Icyte Report'!Z:Z)</f>
        <v>0</v>
      </c>
      <c r="M50" s="10" t="str">
        <f>_xlfn.XLOOKUP(A50,'United MAMP All Components'!A:A,'United MAMP All Components'!F:F)</f>
        <v>0.00</v>
      </c>
      <c r="N50" s="10">
        <f t="shared" si="3"/>
        <v>0</v>
      </c>
      <c r="O50" s="10">
        <f>_xlfn.XLOOKUP(A50,'Icyte Report'!A:A,'Icyte Report'!AA:AA)</f>
        <v>0</v>
      </c>
      <c r="P50" s="10" t="str">
        <f>_xlfn.XLOOKUP(A50,'United MAMP All Components'!A:A,'United MAMP All Components'!H:H)</f>
        <v>0.00</v>
      </c>
      <c r="Q50" s="10">
        <f t="shared" si="4"/>
        <v>0</v>
      </c>
      <c r="R50" s="10">
        <f>_xlfn.XLOOKUP(A50,'Icyte Report'!A:A,'Icyte Report'!AB:AB)</f>
        <v>0</v>
      </c>
      <c r="S50" s="10" t="str">
        <f>_xlfn.XLOOKUP(A50,'United MAMP All Components'!A:A,'United MAMP All Components'!I:I)</f>
        <v>0.00</v>
      </c>
      <c r="T50" s="10">
        <f t="shared" si="5"/>
        <v>0</v>
      </c>
      <c r="U50" s="10">
        <f>_xlfn.XLOOKUP(A50,'Icyte Report'!A:A,'Icyte Report'!AC:AC)</f>
        <v>0</v>
      </c>
      <c r="V50" s="10" t="str">
        <f>_xlfn.XLOOKUP(A50,'United MAMP All Components'!A:A,'United MAMP All Components'!K:K)</f>
        <v>0.00</v>
      </c>
      <c r="W50" s="10">
        <f t="shared" si="6"/>
        <v>0</v>
      </c>
      <c r="X50" s="10">
        <f>_xlfn.XLOOKUP(A50,'Icyte Report'!A:A,'Icyte Report'!AD:AD)</f>
        <v>0</v>
      </c>
      <c r="Y50" s="10" t="str">
        <f>_xlfn.XLOOKUP(A50,'United MAMP All Components'!A:A,'United MAMP All Components'!L:L)</f>
        <v>0.00</v>
      </c>
      <c r="Z50" s="10">
        <f t="shared" si="7"/>
        <v>0</v>
      </c>
      <c r="AA50" s="10">
        <f>_xlfn.XLOOKUP(A50,'Icyte Report'!A:A,'Icyte Report'!AE:AE)</f>
        <v>0</v>
      </c>
      <c r="AB50" s="10" t="str">
        <f>_xlfn.XLOOKUP(A50,'United MAMP All Components'!A:A,'United MAMP All Components'!N:N)</f>
        <v>0.00</v>
      </c>
      <c r="AC50" s="10">
        <f t="shared" si="8"/>
        <v>0</v>
      </c>
      <c r="AD50" s="10">
        <f>_xlfn.XLOOKUP(A50,'Icyte Report'!A:A,'Icyte Report'!AF:AF)</f>
        <v>0</v>
      </c>
      <c r="AE50" s="10" t="str">
        <f>_xlfn.XLOOKUP(A50,'United MAMP All Components'!A:A,'United MAMP All Components'!O:O)</f>
        <v>0.00</v>
      </c>
      <c r="AF50" s="10">
        <f t="shared" si="9"/>
        <v>0</v>
      </c>
      <c r="AG50" s="10">
        <f>_xlfn.XLOOKUP(A50,'Icyte Report'!A:A,'Icyte Report'!AG:AG)</f>
        <v>0</v>
      </c>
      <c r="AH50" s="10" t="str">
        <f>_xlfn.XLOOKUP(A50,'United MAMP All Components'!A:A,'United MAMP All Components'!Q:Q)</f>
        <v>0.00</v>
      </c>
      <c r="AI50" s="10">
        <f t="shared" si="10"/>
        <v>0</v>
      </c>
      <c r="AJ50" s="10">
        <f>_xlfn.XLOOKUP(A50,'Icyte Report'!A:A,'Icyte Report'!AH:AH)</f>
        <v>0</v>
      </c>
      <c r="AK50" s="10" t="str">
        <f>_xlfn.XLOOKUP(A50,'United MAMP All Components'!A:A,'United MAMP All Components'!R:R)</f>
        <v>0.00</v>
      </c>
      <c r="AL50" s="10">
        <f t="shared" si="11"/>
        <v>0</v>
      </c>
      <c r="AM50" s="10">
        <f>_xlfn.XLOOKUP(A50,'Icyte Report'!A:A,'Icyte Report'!AS:AS)</f>
        <v>0</v>
      </c>
      <c r="AN50" s="10" t="str">
        <f>_xlfn.XLOOKUP(A50,'United MAMP All Components'!A:A,'United MAMP All Components'!T:T)</f>
        <v>0.00</v>
      </c>
      <c r="AO50" s="10">
        <f t="shared" si="12"/>
        <v>0</v>
      </c>
      <c r="AP50" s="10">
        <f>_xlfn.XLOOKUP(A50,'Icyte Report'!A:A,'Icyte Report'!AT:AT)</f>
        <v>0</v>
      </c>
      <c r="AQ50" s="10" t="str">
        <f>_xlfn.XLOOKUP(A50,'United MAMP All Components'!A:A,'United MAMP All Components'!U:U)</f>
        <v>0.00</v>
      </c>
      <c r="AR50" s="10">
        <f t="shared" si="13"/>
        <v>0</v>
      </c>
      <c r="AS50" s="10">
        <f>_xlfn.XLOOKUP(A50,'Icyte Report'!A:A,'Icyte Report'!AU:AU)</f>
        <v>0</v>
      </c>
      <c r="AT50" s="10" t="str">
        <f>_xlfn.XLOOKUP(A50,'United MAMP All Components'!A:A,'United MAMP All Components'!AO:AO)</f>
        <v>0.00</v>
      </c>
      <c r="AU50" s="10">
        <f t="shared" si="14"/>
        <v>0</v>
      </c>
      <c r="AV50" s="10">
        <f>_xlfn.XLOOKUP(A50,'Icyte Report'!A:A,'Icyte Report'!AV:AV)</f>
        <v>0</v>
      </c>
      <c r="AW50" s="10" t="str">
        <f>_xlfn.XLOOKUP(A50,'United MAMP All Components'!A:A,'United MAMP All Components'!AP:AP)</f>
        <v>0.00</v>
      </c>
      <c r="AX50" s="10">
        <f t="shared" si="15"/>
        <v>0</v>
      </c>
      <c r="AY50" s="10">
        <f>_xlfn.XLOOKUP(A50,'Icyte Report'!A:A,'Icyte Report'!BH:BH)</f>
        <v>2700</v>
      </c>
      <c r="AZ50" s="10" t="e">
        <f>_xlfn.XLOOKUP(A50,'United Smoothed Indirect Inelig'!A:A,'United Smoothed Indirect Inelig'!D:D)</f>
        <v>#N/A</v>
      </c>
      <c r="BA50" s="10" t="e">
        <f t="shared" si="16"/>
        <v>#N/A</v>
      </c>
      <c r="BB50" s="10">
        <f>_xlfn.XLOOKUP(A50,'Icyte Report'!A:A,'Icyte Report'!BK:BK)</f>
        <v>208500</v>
      </c>
      <c r="BC50" s="10" t="e">
        <f t="shared" si="17"/>
        <v>#N/A</v>
      </c>
      <c r="BD50" s="10">
        <f>_xlfn.XLOOKUP(A50,'Icyte Report'!A:A,'Icyte Report'!BN:BN)</f>
        <v>0</v>
      </c>
      <c r="BE50" s="10" t="e">
        <f>_xlfn.XLOOKUP(A50,'United Smoothed Indirect Inelig'!A:A,'United Smoothed Indirect Inelig'!C:C)</f>
        <v>#N/A</v>
      </c>
      <c r="BF50" s="10" t="e">
        <f t="shared" si="18"/>
        <v>#N/A</v>
      </c>
      <c r="BG50" s="10">
        <f>_xlfn.XLOOKUP(A50,'Icyte Report'!A:A,'Icyte Report'!BR:BR)</f>
        <v>0</v>
      </c>
      <c r="BH50" s="10" t="e">
        <f>_xlfn.XLOOKUP(A50,'United Smoothed Indirect Inelig'!A:A,'United Smoothed Indirect Inelig'!B:B)</f>
        <v>#N/A</v>
      </c>
      <c r="BI50" s="10" t="e">
        <f t="shared" si="19"/>
        <v>#N/A</v>
      </c>
      <c r="BJ50" s="10">
        <f>_xlfn.XLOOKUP(A50,'Icyte Report'!A:A,'Icyte Report'!BV:BV)</f>
        <v>0</v>
      </c>
      <c r="BK50" s="10" t="e">
        <f>_xlfn.XLOOKUP(A50,'United Smoothed Indirect Inelig'!A:A,'United Smoothed Indirect Inelig'!P:P)</f>
        <v>#N/A</v>
      </c>
      <c r="BL50" s="10" t="e">
        <f t="shared" si="20"/>
        <v>#N/A</v>
      </c>
      <c r="BM50" s="13">
        <f>_xlfn.XLOOKUP(A50,'Icyte Report'!A:A,'Icyte Report'!BW:BW)</f>
        <v>0</v>
      </c>
      <c r="BN50" s="13" t="e">
        <f>_xlfn.XLOOKUP(A50,'United Smoothed Indirect Inelig'!A:A,'United Smoothed Indirect Inelig'!G:G)+_xlfn.XLOOKUP(A50,'United Smoothed Indirect Inelig'!A:A,'United Smoothed Indirect Inelig'!H:H) + _xlfn.XLOOKUP(A50,'United Smoothed Indirect Inelig'!A:A,'United Smoothed Indirect Inelig'!I:I)+_xlfn.XLOOKUP(A50,'United Smoothed Indirect Inelig'!A:A,'United Smoothed Indirect Inelig'!J:J)</f>
        <v>#N/A</v>
      </c>
      <c r="BO50" s="18" t="e">
        <f t="shared" si="21"/>
        <v>#N/A</v>
      </c>
      <c r="BP50" s="10">
        <f>_xlfn.XLOOKUP(A50,'Icyte Report'!A:A,'Icyte Report'!BY:BY)</f>
        <v>0</v>
      </c>
      <c r="BQ50" s="10" t="e">
        <f>_xlfn.XLOOKUP(A50,'United Smoothed Indirect Inelig'!A:A,'United Smoothed Indirect Inelig'!L:L)+_xlfn.XLOOKUP(A50,'United Smoothed Indirect Inelig'!A:A,'United Smoothed Indirect Inelig'!M:M) + _xlfn.XLOOKUP(A50,'United Smoothed Indirect Inelig'!A:A,'United Smoothed Indirect Inelig'!N:N)+_xlfn.XLOOKUP(A50,'United Smoothed Indirect Inelig'!A:A,'United Smoothed Indirect Inelig'!O:O)</f>
        <v>#N/A</v>
      </c>
      <c r="BR50" s="10" t="e">
        <f t="shared" si="22"/>
        <v>#N/A</v>
      </c>
      <c r="BS50" s="10">
        <f>_xlfn.XLOOKUP(A50,'Icyte Report'!A:A,'Icyte Report'!BZ:BZ)</f>
        <v>0</v>
      </c>
      <c r="BT50" s="10" t="str">
        <f>_xlfn.XLOOKUP(A50,'United MAMP All Components'!A:A,'United MAMP All Components'!AL:AL)</f>
        <v>0.00</v>
      </c>
      <c r="BU50" s="10">
        <f t="shared" si="23"/>
        <v>0</v>
      </c>
      <c r="BV50" s="26">
        <f>_xlfn.XLOOKUP(A50,'Icyte Report'!A:A,'Icyte Report'!CA:CA)</f>
        <v>0</v>
      </c>
      <c r="BW50" s="22" t="str">
        <f>_xlfn.XLOOKUP(A50,'United MAMP All Components'!A:A,'United MAMP All Components'!AM:AM)</f>
        <v>0.00</v>
      </c>
      <c r="BX50" s="10">
        <f t="shared" si="24"/>
        <v>0</v>
      </c>
      <c r="BY50" s="10">
        <f>_xlfn.XLOOKUP(A50,'Icyte Report'!A:A,'Icyte Report'!CD:CD)</f>
        <v>0</v>
      </c>
      <c r="BZ50" s="10" t="str">
        <f>_xlfn.XLOOKUP(A50,'United_Smoothed Price Concessio'!A:A,'United_Smoothed Price Concessio'!D:D)</f>
        <v>$0.00</v>
      </c>
      <c r="CA50" s="10">
        <f t="shared" si="25"/>
        <v>0</v>
      </c>
      <c r="CB50" s="10">
        <f>_xlfn.XLOOKUP(A50,'Icyte Report'!A:A,'Icyte Report'!CF:CF)</f>
        <v>0</v>
      </c>
      <c r="CC50" s="10" t="e">
        <f>_xlfn.XLOOKUP(A50,'United Smoothed Indirect Inelig'!A:A,'United Smoothed Indirect Inelig'!F:F)</f>
        <v>#N/A</v>
      </c>
      <c r="CD50" s="10" t="e">
        <f t="shared" si="26"/>
        <v>#N/A</v>
      </c>
      <c r="CE50" s="10">
        <f>_xlfn.XLOOKUP(A50,'Icyte Report'!A:A,'Icyte Report'!CL:CL)</f>
        <v>-1437967.3180327869</v>
      </c>
      <c r="CF50" s="10" t="str">
        <f>_xlfn.XLOOKUP(A50,'United_Smoothed Price Concessio'!A:A,'United_Smoothed Price Concessio'!H:H)</f>
        <v>$0.00</v>
      </c>
      <c r="CG50" s="10">
        <f t="shared" si="27"/>
        <v>-1437967.3180327869</v>
      </c>
      <c r="CH50" s="10">
        <f>_xlfn.XLOOKUP(A50,'Icyte Report'!A:A,'Icyte Report'!CY:CY)</f>
        <v>0</v>
      </c>
      <c r="CI50" s="10" t="str">
        <f>_xlfn.XLOOKUP(A50,'United_Smoothed Price Concessio'!A:A,'United_Smoothed Price Concessio'!C:C)</f>
        <v>$0.00</v>
      </c>
      <c r="CJ50" s="10">
        <f t="shared" si="28"/>
        <v>0</v>
      </c>
      <c r="CK50" s="10">
        <f>_xlfn.XLOOKUP(A50,'Icyte Report'!A:A,'Icyte Report'!CZ:CZ)</f>
        <v>0</v>
      </c>
      <c r="CL50" s="10" t="str">
        <f>_xlfn.XLOOKUP(A50,'United_Smoothed Price Concessio'!A:A,'United_Smoothed Price Concessio'!G:G)</f>
        <v>$0.00</v>
      </c>
      <c r="CM50" s="10">
        <f t="shared" si="29"/>
        <v>0</v>
      </c>
      <c r="CN50" s="13">
        <f>_xlfn.XLOOKUP(A50,'Icyte Report'!A:A,'Icyte Report'!DA:DA)</f>
        <v>0</v>
      </c>
      <c r="CO50" s="13" t="str">
        <f>_xlfn.XLOOKUP(A50,'United_Smoothed Price Concessio'!A:A,'United_Smoothed Price Concessio'!I:I)</f>
        <v>0.000000%</v>
      </c>
      <c r="CP50" s="10">
        <f t="shared" si="30"/>
        <v>0</v>
      </c>
      <c r="CQ50" s="10">
        <f>_xlfn.XLOOKUP(A50,'Icyte Report'!A:A,'Icyte Report'!DB:DB)</f>
        <v>0</v>
      </c>
      <c r="CR50" s="10" t="str">
        <f>_xlfn.XLOOKUP(A50,'United MAMP All Components'!A:A,'United MAMP All Components'!AX:AX)</f>
        <v>0.00</v>
      </c>
      <c r="CS50" s="10">
        <f t="shared" si="31"/>
        <v>0</v>
      </c>
      <c r="CT50" s="10">
        <f>_xlfn.XLOOKUP(A50,'Icyte Report'!A:A,'Icyte Report'!DC:DC)</f>
        <v>0</v>
      </c>
      <c r="CU50" s="10" t="str">
        <f>_xlfn.XLOOKUP(A50,'United MAMP All Components'!A:A,'United MAMP All Components'!BA:BA)</f>
        <v>0.00</v>
      </c>
      <c r="CV50" s="10">
        <f t="shared" si="32"/>
        <v>0</v>
      </c>
      <c r="CW50" s="10">
        <f>_xlfn.XLOOKUP(A50,'Icyte Report'!A:A,'Icyte Report'!DD:DD)</f>
        <v>0</v>
      </c>
      <c r="CX50" s="10" t="str">
        <f>_xlfn.XLOOKUP(A50,'United MAMP All Components'!A:A,'United MAMP All Components'!BD:BD)</f>
        <v>0.00</v>
      </c>
      <c r="CY50" s="10">
        <f t="shared" si="33"/>
        <v>0</v>
      </c>
      <c r="CZ50" s="10">
        <f>_xlfn.XLOOKUP(A50,'Icyte Report'!A:A,'Icyte Report'!DE:DE)</f>
        <v>0</v>
      </c>
      <c r="DA50" s="10" t="str">
        <f>_xlfn.XLOOKUP(A50,'United MAMP All Components'!A:A,'United MAMP All Components'!BE:BE)</f>
        <v>0.00</v>
      </c>
      <c r="DB50" s="10">
        <f t="shared" si="34"/>
        <v>0</v>
      </c>
      <c r="DC50" s="10">
        <f>_xlfn.XLOOKUP(A50,'Icyte Report'!A:A,'Icyte Report'!DI:DI)</f>
        <v>6.9440999999999997</v>
      </c>
      <c r="DD50" s="10" t="str">
        <f>_xlfn.XLOOKUP(A50,'United MAMP All Components'!A:A,'United MAMP All Components'!BG:BG)</f>
        <v>6.944100</v>
      </c>
      <c r="DE50" s="10">
        <f t="shared" si="35"/>
        <v>0</v>
      </c>
    </row>
    <row r="51" spans="1:109" x14ac:dyDescent="0.35">
      <c r="A51" s="10" t="s">
        <v>161</v>
      </c>
      <c r="B51" s="10" t="s">
        <v>431</v>
      </c>
      <c r="C51" s="10">
        <f>_xlfn.XLOOKUP(A51,'Icyte Report'!A:A,'Icyte Report'!W:W)</f>
        <v>0</v>
      </c>
      <c r="D51" s="10" t="str">
        <f>_xlfn.XLOOKUP(A51,'United MAMP All Components'!A:A,'United MAMP All Components'!B:B)</f>
        <v>0.00</v>
      </c>
      <c r="E51" s="10">
        <f t="shared" si="0"/>
        <v>0</v>
      </c>
      <c r="F51" s="10">
        <f>_xlfn.XLOOKUP(A51,'Icyte Report'!A:A,'Icyte Report'!X:X)</f>
        <v>0</v>
      </c>
      <c r="G51" s="10" t="str">
        <f>_xlfn.XLOOKUP(A51,'United MAMP All Components'!A:A,'United MAMP All Components'!C:C)</f>
        <v>0.00</v>
      </c>
      <c r="H51" s="10">
        <f t="shared" si="1"/>
        <v>0</v>
      </c>
      <c r="I51" s="10">
        <f>_xlfn.XLOOKUP(A51,'Icyte Report'!A:A,'Icyte Report'!Y:Y)</f>
        <v>0</v>
      </c>
      <c r="J51" s="10" t="str">
        <f>_xlfn.XLOOKUP(A51,'United MAMP All Components'!A:A,'United MAMP All Components'!E:E)</f>
        <v>0.00</v>
      </c>
      <c r="K51" s="10">
        <f t="shared" si="2"/>
        <v>0</v>
      </c>
      <c r="L51" s="10">
        <f>_xlfn.XLOOKUP(A51,'Icyte Report'!A:A,'Icyte Report'!Z:Z)</f>
        <v>0</v>
      </c>
      <c r="M51" s="10" t="str">
        <f>_xlfn.XLOOKUP(A51,'United MAMP All Components'!A:A,'United MAMP All Components'!F:F)</f>
        <v>0.00</v>
      </c>
      <c r="N51" s="10">
        <f t="shared" si="3"/>
        <v>0</v>
      </c>
      <c r="O51" s="10">
        <f>_xlfn.XLOOKUP(A51,'Icyte Report'!A:A,'Icyte Report'!AA:AA)</f>
        <v>0</v>
      </c>
      <c r="P51" s="10" t="str">
        <f>_xlfn.XLOOKUP(A51,'United MAMP All Components'!A:A,'United MAMP All Components'!H:H)</f>
        <v>0.00</v>
      </c>
      <c r="Q51" s="10">
        <f t="shared" si="4"/>
        <v>0</v>
      </c>
      <c r="R51" s="10">
        <f>_xlfn.XLOOKUP(A51,'Icyte Report'!A:A,'Icyte Report'!AB:AB)</f>
        <v>0</v>
      </c>
      <c r="S51" s="10" t="str">
        <f>_xlfn.XLOOKUP(A51,'United MAMP All Components'!A:A,'United MAMP All Components'!I:I)</f>
        <v>0.00</v>
      </c>
      <c r="T51" s="10">
        <f t="shared" si="5"/>
        <v>0</v>
      </c>
      <c r="U51" s="10">
        <f>_xlfn.XLOOKUP(A51,'Icyte Report'!A:A,'Icyte Report'!AC:AC)</f>
        <v>0</v>
      </c>
      <c r="V51" s="10" t="str">
        <f>_xlfn.XLOOKUP(A51,'United MAMP All Components'!A:A,'United MAMP All Components'!K:K)</f>
        <v>0.00</v>
      </c>
      <c r="W51" s="10">
        <f t="shared" si="6"/>
        <v>0</v>
      </c>
      <c r="X51" s="10">
        <f>_xlfn.XLOOKUP(A51,'Icyte Report'!A:A,'Icyte Report'!AD:AD)</f>
        <v>0</v>
      </c>
      <c r="Y51" s="10" t="str">
        <f>_xlfn.XLOOKUP(A51,'United MAMP All Components'!A:A,'United MAMP All Components'!L:L)</f>
        <v>0.00</v>
      </c>
      <c r="Z51" s="10">
        <f t="shared" si="7"/>
        <v>0</v>
      </c>
      <c r="AA51" s="10">
        <f>_xlfn.XLOOKUP(A51,'Icyte Report'!A:A,'Icyte Report'!AE:AE)</f>
        <v>0</v>
      </c>
      <c r="AB51" s="10" t="str">
        <f>_xlfn.XLOOKUP(A51,'United MAMP All Components'!A:A,'United MAMP All Components'!N:N)</f>
        <v>0.00</v>
      </c>
      <c r="AC51" s="10">
        <f t="shared" si="8"/>
        <v>0</v>
      </c>
      <c r="AD51" s="10">
        <f>_xlfn.XLOOKUP(A51,'Icyte Report'!A:A,'Icyte Report'!AF:AF)</f>
        <v>0</v>
      </c>
      <c r="AE51" s="10" t="str">
        <f>_xlfn.XLOOKUP(A51,'United MAMP All Components'!A:A,'United MAMP All Components'!O:O)</f>
        <v>0.00</v>
      </c>
      <c r="AF51" s="10">
        <f t="shared" si="9"/>
        <v>0</v>
      </c>
      <c r="AG51" s="10">
        <f>_xlfn.XLOOKUP(A51,'Icyte Report'!A:A,'Icyte Report'!AG:AG)</f>
        <v>0</v>
      </c>
      <c r="AH51" s="10" t="str">
        <f>_xlfn.XLOOKUP(A51,'United MAMP All Components'!A:A,'United MAMP All Components'!Q:Q)</f>
        <v>0.00</v>
      </c>
      <c r="AI51" s="10">
        <f t="shared" si="10"/>
        <v>0</v>
      </c>
      <c r="AJ51" s="10">
        <f>_xlfn.XLOOKUP(A51,'Icyte Report'!A:A,'Icyte Report'!AH:AH)</f>
        <v>0</v>
      </c>
      <c r="AK51" s="10" t="str">
        <f>_xlfn.XLOOKUP(A51,'United MAMP All Components'!A:A,'United MAMP All Components'!R:R)</f>
        <v>0.00</v>
      </c>
      <c r="AL51" s="10">
        <f t="shared" si="11"/>
        <v>0</v>
      </c>
      <c r="AM51" s="10">
        <f>_xlfn.XLOOKUP(A51,'Icyte Report'!A:A,'Icyte Report'!AS:AS)</f>
        <v>0</v>
      </c>
      <c r="AN51" s="10" t="str">
        <f>_xlfn.XLOOKUP(A51,'United MAMP All Components'!A:A,'United MAMP All Components'!T:T)</f>
        <v>0.00</v>
      </c>
      <c r="AO51" s="10">
        <f t="shared" si="12"/>
        <v>0</v>
      </c>
      <c r="AP51" s="10">
        <f>_xlfn.XLOOKUP(A51,'Icyte Report'!A:A,'Icyte Report'!AT:AT)</f>
        <v>0</v>
      </c>
      <c r="AQ51" s="10" t="str">
        <f>_xlfn.XLOOKUP(A51,'United MAMP All Components'!A:A,'United MAMP All Components'!U:U)</f>
        <v>0.00</v>
      </c>
      <c r="AR51" s="10">
        <f t="shared" si="13"/>
        <v>0</v>
      </c>
      <c r="AS51" s="10">
        <f>_xlfn.XLOOKUP(A51,'Icyte Report'!A:A,'Icyte Report'!AU:AU)</f>
        <v>0</v>
      </c>
      <c r="AT51" s="10" t="str">
        <f>_xlfn.XLOOKUP(A51,'United MAMP All Components'!A:A,'United MAMP All Components'!AO:AO)</f>
        <v>0.00</v>
      </c>
      <c r="AU51" s="10">
        <f t="shared" si="14"/>
        <v>0</v>
      </c>
      <c r="AV51" s="10">
        <f>_xlfn.XLOOKUP(A51,'Icyte Report'!A:A,'Icyte Report'!AV:AV)</f>
        <v>0</v>
      </c>
      <c r="AW51" s="10" t="str">
        <f>_xlfn.XLOOKUP(A51,'United MAMP All Components'!A:A,'United MAMP All Components'!AP:AP)</f>
        <v>0.00</v>
      </c>
      <c r="AX51" s="10">
        <f t="shared" si="15"/>
        <v>0</v>
      </c>
      <c r="AY51" s="10">
        <f>_xlfn.XLOOKUP(A51,'Icyte Report'!A:A,'Icyte Report'!BH:BH)</f>
        <v>23700</v>
      </c>
      <c r="AZ51" s="10" t="e">
        <f>_xlfn.XLOOKUP(A51,'United Smoothed Indirect Inelig'!A:A,'United Smoothed Indirect Inelig'!D:D)</f>
        <v>#N/A</v>
      </c>
      <c r="BA51" s="10" t="e">
        <f t="shared" si="16"/>
        <v>#N/A</v>
      </c>
      <c r="BB51" s="10">
        <f>_xlfn.XLOOKUP(A51,'Icyte Report'!A:A,'Icyte Report'!BK:BK)</f>
        <v>996400</v>
      </c>
      <c r="BC51" s="10" t="e">
        <f t="shared" si="17"/>
        <v>#N/A</v>
      </c>
      <c r="BD51" s="10">
        <f>_xlfn.XLOOKUP(A51,'Icyte Report'!A:A,'Icyte Report'!BN:BN)</f>
        <v>0</v>
      </c>
      <c r="BE51" s="10" t="e">
        <f>_xlfn.XLOOKUP(A51,'United Smoothed Indirect Inelig'!A:A,'United Smoothed Indirect Inelig'!C:C)</f>
        <v>#N/A</v>
      </c>
      <c r="BF51" s="10" t="e">
        <f t="shared" si="18"/>
        <v>#N/A</v>
      </c>
      <c r="BG51" s="10">
        <f>_xlfn.XLOOKUP(A51,'Icyte Report'!A:A,'Icyte Report'!BR:BR)</f>
        <v>0</v>
      </c>
      <c r="BH51" s="10" t="e">
        <f>_xlfn.XLOOKUP(A51,'United Smoothed Indirect Inelig'!A:A,'United Smoothed Indirect Inelig'!B:B)</f>
        <v>#N/A</v>
      </c>
      <c r="BI51" s="10" t="e">
        <f t="shared" si="19"/>
        <v>#N/A</v>
      </c>
      <c r="BJ51" s="10">
        <f>_xlfn.XLOOKUP(A51,'Icyte Report'!A:A,'Icyte Report'!BV:BV)</f>
        <v>0</v>
      </c>
      <c r="BK51" s="10" t="e">
        <f>_xlfn.XLOOKUP(A51,'United Smoothed Indirect Inelig'!A:A,'United Smoothed Indirect Inelig'!P:P)</f>
        <v>#N/A</v>
      </c>
      <c r="BL51" s="10" t="e">
        <f t="shared" si="20"/>
        <v>#N/A</v>
      </c>
      <c r="BM51" s="13">
        <f>_xlfn.XLOOKUP(A51,'Icyte Report'!A:A,'Icyte Report'!BW:BW)</f>
        <v>0</v>
      </c>
      <c r="BN51" s="13" t="e">
        <f>_xlfn.XLOOKUP(A51,'United Smoothed Indirect Inelig'!A:A,'United Smoothed Indirect Inelig'!G:G)+_xlfn.XLOOKUP(A51,'United Smoothed Indirect Inelig'!A:A,'United Smoothed Indirect Inelig'!H:H) + _xlfn.XLOOKUP(A51,'United Smoothed Indirect Inelig'!A:A,'United Smoothed Indirect Inelig'!I:I)+_xlfn.XLOOKUP(A51,'United Smoothed Indirect Inelig'!A:A,'United Smoothed Indirect Inelig'!J:J)</f>
        <v>#N/A</v>
      </c>
      <c r="BO51" s="18" t="e">
        <f t="shared" si="21"/>
        <v>#N/A</v>
      </c>
      <c r="BP51" s="10">
        <f>_xlfn.XLOOKUP(A51,'Icyte Report'!A:A,'Icyte Report'!BY:BY)</f>
        <v>0</v>
      </c>
      <c r="BQ51" s="10" t="e">
        <f>_xlfn.XLOOKUP(A51,'United Smoothed Indirect Inelig'!A:A,'United Smoothed Indirect Inelig'!L:L)+_xlfn.XLOOKUP(A51,'United Smoothed Indirect Inelig'!A:A,'United Smoothed Indirect Inelig'!M:M) + _xlfn.XLOOKUP(A51,'United Smoothed Indirect Inelig'!A:A,'United Smoothed Indirect Inelig'!N:N)+_xlfn.XLOOKUP(A51,'United Smoothed Indirect Inelig'!A:A,'United Smoothed Indirect Inelig'!O:O)</f>
        <v>#N/A</v>
      </c>
      <c r="BR51" s="10" t="e">
        <f t="shared" si="22"/>
        <v>#N/A</v>
      </c>
      <c r="BS51" s="10">
        <f>_xlfn.XLOOKUP(A51,'Icyte Report'!A:A,'Icyte Report'!BZ:BZ)</f>
        <v>0</v>
      </c>
      <c r="BT51" s="10" t="str">
        <f>_xlfn.XLOOKUP(A51,'United MAMP All Components'!A:A,'United MAMP All Components'!AL:AL)</f>
        <v>0.00</v>
      </c>
      <c r="BU51" s="10">
        <f t="shared" si="23"/>
        <v>0</v>
      </c>
      <c r="BV51" s="26">
        <f>_xlfn.XLOOKUP(A51,'Icyte Report'!A:A,'Icyte Report'!CA:CA)</f>
        <v>0</v>
      </c>
      <c r="BW51" s="22" t="str">
        <f>_xlfn.XLOOKUP(A51,'United MAMP All Components'!A:A,'United MAMP All Components'!AM:AM)</f>
        <v>0.00</v>
      </c>
      <c r="BX51" s="10">
        <f t="shared" si="24"/>
        <v>0</v>
      </c>
      <c r="BY51" s="10">
        <f>_xlfn.XLOOKUP(A51,'Icyte Report'!A:A,'Icyte Report'!CD:CD)</f>
        <v>0</v>
      </c>
      <c r="BZ51" s="10" t="str">
        <f>_xlfn.XLOOKUP(A51,'United_Smoothed Price Concessio'!A:A,'United_Smoothed Price Concessio'!D:D)</f>
        <v>$0.00</v>
      </c>
      <c r="CA51" s="10">
        <f t="shared" si="25"/>
        <v>0</v>
      </c>
      <c r="CB51" s="10">
        <f>_xlfn.XLOOKUP(A51,'Icyte Report'!A:A,'Icyte Report'!CF:CF)</f>
        <v>0</v>
      </c>
      <c r="CC51" s="10" t="e">
        <f>_xlfn.XLOOKUP(A51,'United Smoothed Indirect Inelig'!A:A,'United Smoothed Indirect Inelig'!F:F)</f>
        <v>#N/A</v>
      </c>
      <c r="CD51" s="10" t="e">
        <f t="shared" si="26"/>
        <v>#N/A</v>
      </c>
      <c r="CE51" s="10">
        <f>_xlfn.XLOOKUP(A51,'Icyte Report'!A:A,'Icyte Report'!CL:CL)</f>
        <v>-13888778.560655739</v>
      </c>
      <c r="CF51" s="10" t="str">
        <f>_xlfn.XLOOKUP(A51,'United_Smoothed Price Concessio'!A:A,'United_Smoothed Price Concessio'!H:H)</f>
        <v>$0.00</v>
      </c>
      <c r="CG51" s="10">
        <f t="shared" si="27"/>
        <v>-13888778.560655739</v>
      </c>
      <c r="CH51" s="10">
        <f>_xlfn.XLOOKUP(A51,'Icyte Report'!A:A,'Icyte Report'!CY:CY)</f>
        <v>0</v>
      </c>
      <c r="CI51" s="10" t="str">
        <f>_xlfn.XLOOKUP(A51,'United_Smoothed Price Concessio'!A:A,'United_Smoothed Price Concessio'!C:C)</f>
        <v>$0.00</v>
      </c>
      <c r="CJ51" s="10">
        <f t="shared" si="28"/>
        <v>0</v>
      </c>
      <c r="CK51" s="10">
        <f>_xlfn.XLOOKUP(A51,'Icyte Report'!A:A,'Icyte Report'!CZ:CZ)</f>
        <v>0</v>
      </c>
      <c r="CL51" s="10" t="str">
        <f>_xlfn.XLOOKUP(A51,'United_Smoothed Price Concessio'!A:A,'United_Smoothed Price Concessio'!G:G)</f>
        <v>$0.00</v>
      </c>
      <c r="CM51" s="10">
        <f t="shared" si="29"/>
        <v>0</v>
      </c>
      <c r="CN51" s="13">
        <f>_xlfn.XLOOKUP(A51,'Icyte Report'!A:A,'Icyte Report'!DA:DA)</f>
        <v>0</v>
      </c>
      <c r="CO51" s="13" t="str">
        <f>_xlfn.XLOOKUP(A51,'United_Smoothed Price Concessio'!A:A,'United_Smoothed Price Concessio'!I:I)</f>
        <v>0.000000%</v>
      </c>
      <c r="CP51" s="10">
        <f t="shared" si="30"/>
        <v>0</v>
      </c>
      <c r="CQ51" s="10">
        <f>_xlfn.XLOOKUP(A51,'Icyte Report'!A:A,'Icyte Report'!DB:DB)</f>
        <v>0</v>
      </c>
      <c r="CR51" s="10" t="str">
        <f>_xlfn.XLOOKUP(A51,'United MAMP All Components'!A:A,'United MAMP All Components'!AX:AX)</f>
        <v>0.00</v>
      </c>
      <c r="CS51" s="10">
        <f t="shared" si="31"/>
        <v>0</v>
      </c>
      <c r="CT51" s="10">
        <f>_xlfn.XLOOKUP(A51,'Icyte Report'!A:A,'Icyte Report'!DC:DC)</f>
        <v>0</v>
      </c>
      <c r="CU51" s="10" t="str">
        <f>_xlfn.XLOOKUP(A51,'United MAMP All Components'!A:A,'United MAMP All Components'!BA:BA)</f>
        <v>0.00</v>
      </c>
      <c r="CV51" s="10">
        <f t="shared" si="32"/>
        <v>0</v>
      </c>
      <c r="CW51" s="10">
        <f>_xlfn.XLOOKUP(A51,'Icyte Report'!A:A,'Icyte Report'!DD:DD)</f>
        <v>0</v>
      </c>
      <c r="CX51" s="10" t="str">
        <f>_xlfn.XLOOKUP(A51,'United MAMP All Components'!A:A,'United MAMP All Components'!BD:BD)</f>
        <v>0.00</v>
      </c>
      <c r="CY51" s="10">
        <f t="shared" si="33"/>
        <v>0</v>
      </c>
      <c r="CZ51" s="10">
        <f>_xlfn.XLOOKUP(A51,'Icyte Report'!A:A,'Icyte Report'!DE:DE)</f>
        <v>0</v>
      </c>
      <c r="DA51" s="10" t="str">
        <f>_xlfn.XLOOKUP(A51,'United MAMP All Components'!A:A,'United MAMP All Components'!BE:BE)</f>
        <v>0.00</v>
      </c>
      <c r="DB51" s="10">
        <f t="shared" si="34"/>
        <v>0</v>
      </c>
      <c r="DC51" s="10">
        <f>_xlfn.XLOOKUP(A51,'Icyte Report'!A:A,'Icyte Report'!DI:DI)</f>
        <v>13.887499999999999</v>
      </c>
      <c r="DD51" s="10" t="str">
        <f>_xlfn.XLOOKUP(A51,'United MAMP All Components'!A:A,'United MAMP All Components'!BG:BG)</f>
        <v>13.887500</v>
      </c>
      <c r="DE51" s="10">
        <f t="shared" si="35"/>
        <v>0</v>
      </c>
    </row>
    <row r="52" spans="1:109" x14ac:dyDescent="0.35">
      <c r="A52" s="10" t="s">
        <v>165</v>
      </c>
      <c r="B52" s="10" t="s">
        <v>432</v>
      </c>
      <c r="C52" s="10">
        <f>_xlfn.XLOOKUP(A52,'Icyte Report'!A:A,'Icyte Report'!W:W)</f>
        <v>71105.279999999999</v>
      </c>
      <c r="D52" s="10" t="str">
        <f>_xlfn.XLOOKUP(A52,'United MAMP All Components'!A:A,'United MAMP All Components'!B:B)</f>
        <v>0.00</v>
      </c>
      <c r="E52" s="10">
        <f t="shared" si="0"/>
        <v>71105.279999999999</v>
      </c>
      <c r="F52" s="10">
        <f>_xlfn.XLOOKUP(A52,'Icyte Report'!A:A,'Icyte Report'!X:X)</f>
        <v>1280</v>
      </c>
      <c r="G52" s="10" t="str">
        <f>_xlfn.XLOOKUP(A52,'United MAMP All Components'!A:A,'United MAMP All Components'!C:C)</f>
        <v>0.00</v>
      </c>
      <c r="H52" s="10">
        <f t="shared" si="1"/>
        <v>1280</v>
      </c>
      <c r="I52" s="10">
        <f>_xlfn.XLOOKUP(A52,'Icyte Report'!A:A,'Icyte Report'!Y:Y)</f>
        <v>0</v>
      </c>
      <c r="J52" s="10" t="str">
        <f>_xlfn.XLOOKUP(A52,'United MAMP All Components'!A:A,'United MAMP All Components'!E:E)</f>
        <v>0.00</v>
      </c>
      <c r="K52" s="10">
        <f t="shared" si="2"/>
        <v>0</v>
      </c>
      <c r="L52" s="10">
        <f>_xlfn.XLOOKUP(A52,'Icyte Report'!A:A,'Icyte Report'!Z:Z)</f>
        <v>0</v>
      </c>
      <c r="M52" s="10" t="str">
        <f>_xlfn.XLOOKUP(A52,'United MAMP All Components'!A:A,'United MAMP All Components'!F:F)</f>
        <v>0.00</v>
      </c>
      <c r="N52" s="10">
        <f t="shared" si="3"/>
        <v>0</v>
      </c>
      <c r="O52" s="10">
        <f>_xlfn.XLOOKUP(A52,'Icyte Report'!A:A,'Icyte Report'!AA:AA)</f>
        <v>71105.279999999999</v>
      </c>
      <c r="P52" s="10" t="str">
        <f>_xlfn.XLOOKUP(A52,'United MAMP All Components'!A:A,'United MAMP All Components'!H:H)</f>
        <v>0.00</v>
      </c>
      <c r="Q52" s="10">
        <f t="shared" si="4"/>
        <v>71105.279999999999</v>
      </c>
      <c r="R52" s="10">
        <f>_xlfn.XLOOKUP(A52,'Icyte Report'!A:A,'Icyte Report'!AB:AB)</f>
        <v>1280</v>
      </c>
      <c r="S52" s="10" t="str">
        <f>_xlfn.XLOOKUP(A52,'United MAMP All Components'!A:A,'United MAMP All Components'!I:I)</f>
        <v>0.00</v>
      </c>
      <c r="T52" s="10">
        <f t="shared" si="5"/>
        <v>1280</v>
      </c>
      <c r="U52" s="10">
        <f>_xlfn.XLOOKUP(A52,'Icyte Report'!A:A,'Icyte Report'!AC:AC)</f>
        <v>0</v>
      </c>
      <c r="V52" s="10" t="str">
        <f>_xlfn.XLOOKUP(A52,'United MAMP All Components'!A:A,'United MAMP All Components'!K:K)</f>
        <v>0.00</v>
      </c>
      <c r="W52" s="10">
        <f t="shared" si="6"/>
        <v>0</v>
      </c>
      <c r="X52" s="10">
        <f>_xlfn.XLOOKUP(A52,'Icyte Report'!A:A,'Icyte Report'!AD:AD)</f>
        <v>0</v>
      </c>
      <c r="Y52" s="10" t="str">
        <f>_xlfn.XLOOKUP(A52,'United MAMP All Components'!A:A,'United MAMP All Components'!L:L)</f>
        <v>0.00</v>
      </c>
      <c r="Z52" s="10">
        <f t="shared" si="7"/>
        <v>0</v>
      </c>
      <c r="AA52" s="10">
        <f>_xlfn.XLOOKUP(A52,'Icyte Report'!A:A,'Icyte Report'!AE:AE)</f>
        <v>0</v>
      </c>
      <c r="AB52" s="10" t="str">
        <f>_xlfn.XLOOKUP(A52,'United MAMP All Components'!A:A,'United MAMP All Components'!N:N)</f>
        <v>0.00</v>
      </c>
      <c r="AC52" s="10">
        <f t="shared" si="8"/>
        <v>0</v>
      </c>
      <c r="AD52" s="10">
        <f>_xlfn.XLOOKUP(A52,'Icyte Report'!A:A,'Icyte Report'!AF:AF)</f>
        <v>0</v>
      </c>
      <c r="AE52" s="10" t="str">
        <f>_xlfn.XLOOKUP(A52,'United MAMP All Components'!A:A,'United MAMP All Components'!O:O)</f>
        <v>0.00</v>
      </c>
      <c r="AF52" s="10">
        <f t="shared" si="9"/>
        <v>0</v>
      </c>
      <c r="AG52" s="10">
        <f>_xlfn.XLOOKUP(A52,'Icyte Report'!A:A,'Icyte Report'!AG:AG)</f>
        <v>0</v>
      </c>
      <c r="AH52" s="10" t="str">
        <f>_xlfn.XLOOKUP(A52,'United MAMP All Components'!A:A,'United MAMP All Components'!Q:Q)</f>
        <v>0.00</v>
      </c>
      <c r="AI52" s="10">
        <f t="shared" si="10"/>
        <v>0</v>
      </c>
      <c r="AJ52" s="10">
        <f>_xlfn.XLOOKUP(A52,'Icyte Report'!A:A,'Icyte Report'!AH:AH)</f>
        <v>0</v>
      </c>
      <c r="AK52" s="10" t="str">
        <f>_xlfn.XLOOKUP(A52,'United MAMP All Components'!A:A,'United MAMP All Components'!R:R)</f>
        <v>0.00</v>
      </c>
      <c r="AL52" s="10">
        <f t="shared" si="11"/>
        <v>0</v>
      </c>
      <c r="AM52" s="10">
        <f>_xlfn.XLOOKUP(A52,'Icyte Report'!A:A,'Icyte Report'!AS:AS)</f>
        <v>0</v>
      </c>
      <c r="AN52" s="10" t="str">
        <f>_xlfn.XLOOKUP(A52,'United MAMP All Components'!A:A,'United MAMP All Components'!T:T)</f>
        <v>0.00</v>
      </c>
      <c r="AO52" s="10">
        <f t="shared" si="12"/>
        <v>0</v>
      </c>
      <c r="AP52" s="10">
        <f>_xlfn.XLOOKUP(A52,'Icyte Report'!A:A,'Icyte Report'!AT:AT)</f>
        <v>0</v>
      </c>
      <c r="AQ52" s="10" t="str">
        <f>_xlfn.XLOOKUP(A52,'United MAMP All Components'!A:A,'United MAMP All Components'!U:U)</f>
        <v>0.00</v>
      </c>
      <c r="AR52" s="10">
        <f t="shared" si="13"/>
        <v>0</v>
      </c>
      <c r="AS52" s="10">
        <f>_xlfn.XLOOKUP(A52,'Icyte Report'!A:A,'Icyte Report'!AU:AU)</f>
        <v>0</v>
      </c>
      <c r="AT52" s="10" t="str">
        <f>_xlfn.XLOOKUP(A52,'United MAMP All Components'!A:A,'United MAMP All Components'!AO:AO)</f>
        <v>0.00</v>
      </c>
      <c r="AU52" s="10">
        <f t="shared" si="14"/>
        <v>0</v>
      </c>
      <c r="AV52" s="10">
        <f>_xlfn.XLOOKUP(A52,'Icyte Report'!A:A,'Icyte Report'!AV:AV)</f>
        <v>0</v>
      </c>
      <c r="AW52" s="10" t="str">
        <f>_xlfn.XLOOKUP(A52,'United MAMP All Components'!A:A,'United MAMP All Components'!AP:AP)</f>
        <v>0.00</v>
      </c>
      <c r="AX52" s="10">
        <f t="shared" si="15"/>
        <v>0</v>
      </c>
      <c r="AY52" s="10">
        <f>_xlfn.XLOOKUP(A52,'Icyte Report'!A:A,'Icyte Report'!BH:BH)</f>
        <v>42860</v>
      </c>
      <c r="AZ52" s="10" t="e">
        <f>_xlfn.XLOOKUP(A52,'United Smoothed Indirect Inelig'!A:A,'United Smoothed Indirect Inelig'!D:D)</f>
        <v>#N/A</v>
      </c>
      <c r="BA52" s="10" t="e">
        <f t="shared" si="16"/>
        <v>#N/A</v>
      </c>
      <c r="BB52" s="10">
        <f>_xlfn.XLOOKUP(A52,'Icyte Report'!A:A,'Icyte Report'!BK:BK)</f>
        <v>1705500</v>
      </c>
      <c r="BC52" s="10" t="e">
        <f t="shared" si="17"/>
        <v>#N/A</v>
      </c>
      <c r="BD52" s="10">
        <f>_xlfn.XLOOKUP(A52,'Icyte Report'!A:A,'Icyte Report'!BN:BN)</f>
        <v>0</v>
      </c>
      <c r="BE52" s="10" t="e">
        <f>_xlfn.XLOOKUP(A52,'United Smoothed Indirect Inelig'!A:A,'United Smoothed Indirect Inelig'!C:C)</f>
        <v>#N/A</v>
      </c>
      <c r="BF52" s="10" t="e">
        <f t="shared" si="18"/>
        <v>#N/A</v>
      </c>
      <c r="BG52" s="10">
        <f>_xlfn.XLOOKUP(A52,'Icyte Report'!A:A,'Icyte Report'!BR:BR)</f>
        <v>0</v>
      </c>
      <c r="BH52" s="10" t="e">
        <f>_xlfn.XLOOKUP(A52,'United Smoothed Indirect Inelig'!A:A,'United Smoothed Indirect Inelig'!B:B)</f>
        <v>#N/A</v>
      </c>
      <c r="BI52" s="10" t="e">
        <f t="shared" si="19"/>
        <v>#N/A</v>
      </c>
      <c r="BJ52" s="10">
        <f>_xlfn.XLOOKUP(A52,'Icyte Report'!A:A,'Icyte Report'!BV:BV)</f>
        <v>0</v>
      </c>
      <c r="BK52" s="10" t="e">
        <f>_xlfn.XLOOKUP(A52,'United Smoothed Indirect Inelig'!A:A,'United Smoothed Indirect Inelig'!P:P)</f>
        <v>#N/A</v>
      </c>
      <c r="BL52" s="10" t="e">
        <f t="shared" si="20"/>
        <v>#N/A</v>
      </c>
      <c r="BM52" s="13">
        <f>_xlfn.XLOOKUP(A52,'Icyte Report'!A:A,'Icyte Report'!BW:BW)</f>
        <v>0</v>
      </c>
      <c r="BN52" s="13" t="e">
        <f>_xlfn.XLOOKUP(A52,'United Smoothed Indirect Inelig'!A:A,'United Smoothed Indirect Inelig'!G:G)+_xlfn.XLOOKUP(A52,'United Smoothed Indirect Inelig'!A:A,'United Smoothed Indirect Inelig'!H:H) + _xlfn.XLOOKUP(A52,'United Smoothed Indirect Inelig'!A:A,'United Smoothed Indirect Inelig'!I:I)+_xlfn.XLOOKUP(A52,'United Smoothed Indirect Inelig'!A:A,'United Smoothed Indirect Inelig'!J:J)</f>
        <v>#N/A</v>
      </c>
      <c r="BO52" s="18" t="e">
        <f t="shared" si="21"/>
        <v>#N/A</v>
      </c>
      <c r="BP52" s="10">
        <f>_xlfn.XLOOKUP(A52,'Icyte Report'!A:A,'Icyte Report'!BY:BY)</f>
        <v>0</v>
      </c>
      <c r="BQ52" s="10" t="e">
        <f>_xlfn.XLOOKUP(A52,'United Smoothed Indirect Inelig'!A:A,'United Smoothed Indirect Inelig'!L:L)+_xlfn.XLOOKUP(A52,'United Smoothed Indirect Inelig'!A:A,'United Smoothed Indirect Inelig'!M:M) + _xlfn.XLOOKUP(A52,'United Smoothed Indirect Inelig'!A:A,'United Smoothed Indirect Inelig'!N:N)+_xlfn.XLOOKUP(A52,'United Smoothed Indirect Inelig'!A:A,'United Smoothed Indirect Inelig'!O:O)</f>
        <v>#N/A</v>
      </c>
      <c r="BR52" s="10" t="e">
        <f t="shared" si="22"/>
        <v>#N/A</v>
      </c>
      <c r="BS52" s="10">
        <f>_xlfn.XLOOKUP(A52,'Icyte Report'!A:A,'Icyte Report'!BZ:BZ)</f>
        <v>0</v>
      </c>
      <c r="BT52" s="10" t="str">
        <f>_xlfn.XLOOKUP(A52,'United MAMP All Components'!A:A,'United MAMP All Components'!AL:AL)</f>
        <v>0.00</v>
      </c>
      <c r="BU52" s="10">
        <f t="shared" si="23"/>
        <v>0</v>
      </c>
      <c r="BV52" s="26">
        <f>_xlfn.XLOOKUP(A52,'Icyte Report'!A:A,'Icyte Report'!CA:CA)</f>
        <v>0</v>
      </c>
      <c r="BW52" s="22" t="str">
        <f>_xlfn.XLOOKUP(A52,'United MAMP All Components'!A:A,'United MAMP All Components'!AM:AM)</f>
        <v>0.00</v>
      </c>
      <c r="BX52" s="10">
        <f t="shared" si="24"/>
        <v>0</v>
      </c>
      <c r="BY52" s="10">
        <f>_xlfn.XLOOKUP(A52,'Icyte Report'!A:A,'Icyte Report'!CD:CD)</f>
        <v>0</v>
      </c>
      <c r="BZ52" s="10" t="str">
        <f>_xlfn.XLOOKUP(A52,'United_Smoothed Price Concessio'!A:A,'United_Smoothed Price Concessio'!D:D)</f>
        <v>$0.00</v>
      </c>
      <c r="CA52" s="10">
        <f t="shared" si="25"/>
        <v>0</v>
      </c>
      <c r="CB52" s="10">
        <f>_xlfn.XLOOKUP(A52,'Icyte Report'!A:A,'Icyte Report'!CF:CF)</f>
        <v>0</v>
      </c>
      <c r="CC52" s="10" t="e">
        <f>_xlfn.XLOOKUP(A52,'United Smoothed Indirect Inelig'!A:A,'United Smoothed Indirect Inelig'!F:F)</f>
        <v>#N/A</v>
      </c>
      <c r="CD52" s="10" t="e">
        <f t="shared" si="26"/>
        <v>#N/A</v>
      </c>
      <c r="CE52" s="10">
        <f>_xlfn.XLOOKUP(A52,'Icyte Report'!A:A,'Icyte Report'!CL:CL)</f>
        <v>-95227264.902295083</v>
      </c>
      <c r="CF52" s="10" t="str">
        <f>_xlfn.XLOOKUP(A52,'United_Smoothed Price Concessio'!A:A,'United_Smoothed Price Concessio'!H:H)</f>
        <v>$0.00</v>
      </c>
      <c r="CG52" s="10">
        <f t="shared" si="27"/>
        <v>-95227264.902295083</v>
      </c>
      <c r="CH52" s="10">
        <f>_xlfn.XLOOKUP(A52,'Icyte Report'!A:A,'Icyte Report'!CY:CY)</f>
        <v>0</v>
      </c>
      <c r="CI52" s="10" t="str">
        <f>_xlfn.XLOOKUP(A52,'United_Smoothed Price Concessio'!A:A,'United_Smoothed Price Concessio'!C:C)</f>
        <v>$0.00</v>
      </c>
      <c r="CJ52" s="10">
        <f t="shared" si="28"/>
        <v>0</v>
      </c>
      <c r="CK52" s="10">
        <f>_xlfn.XLOOKUP(A52,'Icyte Report'!A:A,'Icyte Report'!CZ:CZ)</f>
        <v>0</v>
      </c>
      <c r="CL52" s="10" t="str">
        <f>_xlfn.XLOOKUP(A52,'United_Smoothed Price Concessio'!A:A,'United_Smoothed Price Concessio'!G:G)</f>
        <v>$0.00</v>
      </c>
      <c r="CM52" s="10">
        <f t="shared" si="29"/>
        <v>0</v>
      </c>
      <c r="CN52" s="13">
        <f>_xlfn.XLOOKUP(A52,'Icyte Report'!A:A,'Icyte Report'!DA:DA)</f>
        <v>0</v>
      </c>
      <c r="CO52" s="13" t="str">
        <f>_xlfn.XLOOKUP(A52,'United_Smoothed Price Concessio'!A:A,'United_Smoothed Price Concessio'!I:I)</f>
        <v>0.000000%</v>
      </c>
      <c r="CP52" s="10">
        <f t="shared" si="30"/>
        <v>0</v>
      </c>
      <c r="CQ52" s="10">
        <f>_xlfn.XLOOKUP(A52,'Icyte Report'!A:A,'Icyte Report'!DB:DB)</f>
        <v>0</v>
      </c>
      <c r="CR52" s="10" t="str">
        <f>_xlfn.XLOOKUP(A52,'United MAMP All Components'!A:A,'United MAMP All Components'!AX:AX)</f>
        <v>0.00</v>
      </c>
      <c r="CS52" s="10">
        <f t="shared" si="31"/>
        <v>0</v>
      </c>
      <c r="CT52" s="10">
        <f>_xlfn.XLOOKUP(A52,'Icyte Report'!A:A,'Icyte Report'!DC:DC)</f>
        <v>0</v>
      </c>
      <c r="CU52" s="10" t="str">
        <f>_xlfn.XLOOKUP(A52,'United MAMP All Components'!A:A,'United MAMP All Components'!BA:BA)</f>
        <v>0.00</v>
      </c>
      <c r="CV52" s="10">
        <f t="shared" si="32"/>
        <v>0</v>
      </c>
      <c r="CW52" s="10">
        <f>_xlfn.XLOOKUP(A52,'Icyte Report'!A:A,'Icyte Report'!DD:DD)</f>
        <v>0</v>
      </c>
      <c r="CX52" s="10" t="str">
        <f>_xlfn.XLOOKUP(A52,'United MAMP All Components'!A:A,'United MAMP All Components'!BD:BD)</f>
        <v>0.00</v>
      </c>
      <c r="CY52" s="10">
        <f t="shared" si="33"/>
        <v>0</v>
      </c>
      <c r="CZ52" s="10">
        <f>_xlfn.XLOOKUP(A52,'Icyte Report'!A:A,'Icyte Report'!DE:DE)</f>
        <v>0</v>
      </c>
      <c r="DA52" s="10" t="str">
        <f>_xlfn.XLOOKUP(A52,'United MAMP All Components'!A:A,'United MAMP All Components'!BE:BE)</f>
        <v>0.00</v>
      </c>
      <c r="DB52" s="10">
        <f t="shared" si="34"/>
        <v>0</v>
      </c>
      <c r="DC52" s="10">
        <f>_xlfn.XLOOKUP(A52,'Icyte Report'!A:A,'Icyte Report'!DI:DI)</f>
        <v>55.551299999999998</v>
      </c>
      <c r="DD52" s="10" t="str">
        <f>_xlfn.XLOOKUP(A52,'United MAMP All Components'!A:A,'United MAMP All Components'!BG:BG)</f>
        <v>55.551300</v>
      </c>
      <c r="DE52" s="10">
        <f t="shared" si="35"/>
        <v>0</v>
      </c>
    </row>
    <row r="53" spans="1:109" x14ac:dyDescent="0.35">
      <c r="A53" s="10" t="s">
        <v>171</v>
      </c>
      <c r="B53" s="10" t="s">
        <v>433</v>
      </c>
      <c r="C53" s="10">
        <f>_xlfn.XLOOKUP(A53,'Icyte Report'!A:A,'Icyte Report'!W:W)</f>
        <v>0</v>
      </c>
      <c r="D53" s="10" t="str">
        <f>_xlfn.XLOOKUP(A53,'United MAMP All Components'!A:A,'United MAMP All Components'!B:B)</f>
        <v>0.00</v>
      </c>
      <c r="E53" s="10">
        <f t="shared" si="0"/>
        <v>0</v>
      </c>
      <c r="F53" s="10">
        <f>_xlfn.XLOOKUP(A53,'Icyte Report'!A:A,'Icyte Report'!X:X)</f>
        <v>0</v>
      </c>
      <c r="G53" s="10" t="str">
        <f>_xlfn.XLOOKUP(A53,'United MAMP All Components'!A:A,'United MAMP All Components'!C:C)</f>
        <v>0.00</v>
      </c>
      <c r="H53" s="10">
        <f t="shared" si="1"/>
        <v>0</v>
      </c>
      <c r="I53" s="10">
        <f>_xlfn.XLOOKUP(A53,'Icyte Report'!A:A,'Icyte Report'!Y:Y)</f>
        <v>0</v>
      </c>
      <c r="J53" s="10" t="str">
        <f>_xlfn.XLOOKUP(A53,'United MAMP All Components'!A:A,'United MAMP All Components'!E:E)</f>
        <v>0.00</v>
      </c>
      <c r="K53" s="10">
        <f t="shared" si="2"/>
        <v>0</v>
      </c>
      <c r="L53" s="10">
        <f>_xlfn.XLOOKUP(A53,'Icyte Report'!A:A,'Icyte Report'!Z:Z)</f>
        <v>0</v>
      </c>
      <c r="M53" s="10" t="str">
        <f>_xlfn.XLOOKUP(A53,'United MAMP All Components'!A:A,'United MAMP All Components'!F:F)</f>
        <v>0.00</v>
      </c>
      <c r="N53" s="10">
        <f t="shared" si="3"/>
        <v>0</v>
      </c>
      <c r="O53" s="10">
        <f>_xlfn.XLOOKUP(A53,'Icyte Report'!A:A,'Icyte Report'!AA:AA)</f>
        <v>0</v>
      </c>
      <c r="P53" s="10" t="str">
        <f>_xlfn.XLOOKUP(A53,'United MAMP All Components'!A:A,'United MAMP All Components'!H:H)</f>
        <v>0.00</v>
      </c>
      <c r="Q53" s="10">
        <f t="shared" si="4"/>
        <v>0</v>
      </c>
      <c r="R53" s="10">
        <f>_xlfn.XLOOKUP(A53,'Icyte Report'!A:A,'Icyte Report'!AB:AB)</f>
        <v>0</v>
      </c>
      <c r="S53" s="10" t="str">
        <f>_xlfn.XLOOKUP(A53,'United MAMP All Components'!A:A,'United MAMP All Components'!I:I)</f>
        <v>0.00</v>
      </c>
      <c r="T53" s="10">
        <f t="shared" si="5"/>
        <v>0</v>
      </c>
      <c r="U53" s="10">
        <f>_xlfn.XLOOKUP(A53,'Icyte Report'!A:A,'Icyte Report'!AC:AC)</f>
        <v>0</v>
      </c>
      <c r="V53" s="10" t="str">
        <f>_xlfn.XLOOKUP(A53,'United MAMP All Components'!A:A,'United MAMP All Components'!K:K)</f>
        <v>0.00</v>
      </c>
      <c r="W53" s="10">
        <f t="shared" si="6"/>
        <v>0</v>
      </c>
      <c r="X53" s="10">
        <f>_xlfn.XLOOKUP(A53,'Icyte Report'!A:A,'Icyte Report'!AD:AD)</f>
        <v>0</v>
      </c>
      <c r="Y53" s="10" t="str">
        <f>_xlfn.XLOOKUP(A53,'United MAMP All Components'!A:A,'United MAMP All Components'!L:L)</f>
        <v>0.00</v>
      </c>
      <c r="Z53" s="10">
        <f t="shared" si="7"/>
        <v>0</v>
      </c>
      <c r="AA53" s="10">
        <f>_xlfn.XLOOKUP(A53,'Icyte Report'!A:A,'Icyte Report'!AE:AE)</f>
        <v>0</v>
      </c>
      <c r="AB53" s="10" t="str">
        <f>_xlfn.XLOOKUP(A53,'United MAMP All Components'!A:A,'United MAMP All Components'!N:N)</f>
        <v>0.00</v>
      </c>
      <c r="AC53" s="10">
        <f t="shared" si="8"/>
        <v>0</v>
      </c>
      <c r="AD53" s="10">
        <f>_xlfn.XLOOKUP(A53,'Icyte Report'!A:A,'Icyte Report'!AF:AF)</f>
        <v>0</v>
      </c>
      <c r="AE53" s="10" t="str">
        <f>_xlfn.XLOOKUP(A53,'United MAMP All Components'!A:A,'United MAMP All Components'!O:O)</f>
        <v>0.00</v>
      </c>
      <c r="AF53" s="10">
        <f t="shared" si="9"/>
        <v>0</v>
      </c>
      <c r="AG53" s="10">
        <f>_xlfn.XLOOKUP(A53,'Icyte Report'!A:A,'Icyte Report'!AG:AG)</f>
        <v>0</v>
      </c>
      <c r="AH53" s="10" t="str">
        <f>_xlfn.XLOOKUP(A53,'United MAMP All Components'!A:A,'United MAMP All Components'!Q:Q)</f>
        <v>0.00</v>
      </c>
      <c r="AI53" s="10">
        <f t="shared" si="10"/>
        <v>0</v>
      </c>
      <c r="AJ53" s="10">
        <f>_xlfn.XLOOKUP(A53,'Icyte Report'!A:A,'Icyte Report'!AH:AH)</f>
        <v>0</v>
      </c>
      <c r="AK53" s="10" t="str">
        <f>_xlfn.XLOOKUP(A53,'United MAMP All Components'!A:A,'United MAMP All Components'!R:R)</f>
        <v>0.00</v>
      </c>
      <c r="AL53" s="10">
        <f t="shared" si="11"/>
        <v>0</v>
      </c>
      <c r="AM53" s="10">
        <f>_xlfn.XLOOKUP(A53,'Icyte Report'!A:A,'Icyte Report'!AS:AS)</f>
        <v>0</v>
      </c>
      <c r="AN53" s="10" t="str">
        <f>_xlfn.XLOOKUP(A53,'United MAMP All Components'!A:A,'United MAMP All Components'!T:T)</f>
        <v>0.00</v>
      </c>
      <c r="AO53" s="10">
        <f t="shared" si="12"/>
        <v>0</v>
      </c>
      <c r="AP53" s="10">
        <f>_xlfn.XLOOKUP(A53,'Icyte Report'!A:A,'Icyte Report'!AT:AT)</f>
        <v>0</v>
      </c>
      <c r="AQ53" s="10" t="str">
        <f>_xlfn.XLOOKUP(A53,'United MAMP All Components'!A:A,'United MAMP All Components'!U:U)</f>
        <v>0.00</v>
      </c>
      <c r="AR53" s="10">
        <f t="shared" si="13"/>
        <v>0</v>
      </c>
      <c r="AS53" s="10">
        <f>_xlfn.XLOOKUP(A53,'Icyte Report'!A:A,'Icyte Report'!AU:AU)</f>
        <v>0</v>
      </c>
      <c r="AT53" s="10" t="str">
        <f>_xlfn.XLOOKUP(A53,'United MAMP All Components'!A:A,'United MAMP All Components'!AO:AO)</f>
        <v>0.00</v>
      </c>
      <c r="AU53" s="10">
        <f t="shared" si="14"/>
        <v>0</v>
      </c>
      <c r="AV53" s="10">
        <f>_xlfn.XLOOKUP(A53,'Icyte Report'!A:A,'Icyte Report'!AV:AV)</f>
        <v>0</v>
      </c>
      <c r="AW53" s="10" t="str">
        <f>_xlfn.XLOOKUP(A53,'United MAMP All Components'!A:A,'United MAMP All Components'!AP:AP)</f>
        <v>0.00</v>
      </c>
      <c r="AX53" s="10">
        <f t="shared" si="15"/>
        <v>0</v>
      </c>
      <c r="AY53" s="10">
        <f>_xlfn.XLOOKUP(A53,'Icyte Report'!A:A,'Icyte Report'!BH:BH)</f>
        <v>19500</v>
      </c>
      <c r="AZ53" s="10" t="e">
        <f>_xlfn.XLOOKUP(A53,'United Smoothed Indirect Inelig'!A:A,'United Smoothed Indirect Inelig'!D:D)</f>
        <v>#N/A</v>
      </c>
      <c r="BA53" s="10" t="e">
        <f t="shared" si="16"/>
        <v>#N/A</v>
      </c>
      <c r="BB53" s="10">
        <f>_xlfn.XLOOKUP(A53,'Icyte Report'!A:A,'Icyte Report'!BK:BK)</f>
        <v>303300</v>
      </c>
      <c r="BC53" s="10" t="e">
        <f t="shared" si="17"/>
        <v>#N/A</v>
      </c>
      <c r="BD53" s="10">
        <f>_xlfn.XLOOKUP(A53,'Icyte Report'!A:A,'Icyte Report'!BN:BN)</f>
        <v>0</v>
      </c>
      <c r="BE53" s="10" t="e">
        <f>_xlfn.XLOOKUP(A53,'United Smoothed Indirect Inelig'!A:A,'United Smoothed Indirect Inelig'!C:C)</f>
        <v>#N/A</v>
      </c>
      <c r="BF53" s="10" t="e">
        <f t="shared" si="18"/>
        <v>#N/A</v>
      </c>
      <c r="BG53" s="10">
        <f>_xlfn.XLOOKUP(A53,'Icyte Report'!A:A,'Icyte Report'!BR:BR)</f>
        <v>0</v>
      </c>
      <c r="BH53" s="10" t="e">
        <f>_xlfn.XLOOKUP(A53,'United Smoothed Indirect Inelig'!A:A,'United Smoothed Indirect Inelig'!B:B)</f>
        <v>#N/A</v>
      </c>
      <c r="BI53" s="10" t="e">
        <f t="shared" si="19"/>
        <v>#N/A</v>
      </c>
      <c r="BJ53" s="10">
        <f>_xlfn.XLOOKUP(A53,'Icyte Report'!A:A,'Icyte Report'!BV:BV)</f>
        <v>0</v>
      </c>
      <c r="BK53" s="10" t="e">
        <f>_xlfn.XLOOKUP(A53,'United Smoothed Indirect Inelig'!A:A,'United Smoothed Indirect Inelig'!P:P)</f>
        <v>#N/A</v>
      </c>
      <c r="BL53" s="10" t="e">
        <f t="shared" si="20"/>
        <v>#N/A</v>
      </c>
      <c r="BM53" s="13">
        <f>_xlfn.XLOOKUP(A53,'Icyte Report'!A:A,'Icyte Report'!BW:BW)</f>
        <v>0</v>
      </c>
      <c r="BN53" s="13" t="e">
        <f>_xlfn.XLOOKUP(A53,'United Smoothed Indirect Inelig'!A:A,'United Smoothed Indirect Inelig'!G:G)+_xlfn.XLOOKUP(A53,'United Smoothed Indirect Inelig'!A:A,'United Smoothed Indirect Inelig'!H:H) + _xlfn.XLOOKUP(A53,'United Smoothed Indirect Inelig'!A:A,'United Smoothed Indirect Inelig'!I:I)+_xlfn.XLOOKUP(A53,'United Smoothed Indirect Inelig'!A:A,'United Smoothed Indirect Inelig'!J:J)</f>
        <v>#N/A</v>
      </c>
      <c r="BO53" s="18" t="e">
        <f t="shared" si="21"/>
        <v>#N/A</v>
      </c>
      <c r="BP53" s="10">
        <f>_xlfn.XLOOKUP(A53,'Icyte Report'!A:A,'Icyte Report'!BY:BY)</f>
        <v>0</v>
      </c>
      <c r="BQ53" s="10" t="e">
        <f>_xlfn.XLOOKUP(A53,'United Smoothed Indirect Inelig'!A:A,'United Smoothed Indirect Inelig'!L:L)+_xlfn.XLOOKUP(A53,'United Smoothed Indirect Inelig'!A:A,'United Smoothed Indirect Inelig'!M:M) + _xlfn.XLOOKUP(A53,'United Smoothed Indirect Inelig'!A:A,'United Smoothed Indirect Inelig'!N:N)+_xlfn.XLOOKUP(A53,'United Smoothed Indirect Inelig'!A:A,'United Smoothed Indirect Inelig'!O:O)</f>
        <v>#N/A</v>
      </c>
      <c r="BR53" s="10" t="e">
        <f t="shared" si="22"/>
        <v>#N/A</v>
      </c>
      <c r="BS53" s="10">
        <f>_xlfn.XLOOKUP(A53,'Icyte Report'!A:A,'Icyte Report'!BZ:BZ)</f>
        <v>0</v>
      </c>
      <c r="BT53" s="10" t="str">
        <f>_xlfn.XLOOKUP(A53,'United MAMP All Components'!A:A,'United MAMP All Components'!AL:AL)</f>
        <v>0.00</v>
      </c>
      <c r="BU53" s="10">
        <f t="shared" si="23"/>
        <v>0</v>
      </c>
      <c r="BV53" s="26">
        <f>_xlfn.XLOOKUP(A53,'Icyte Report'!A:A,'Icyte Report'!CA:CA)</f>
        <v>0</v>
      </c>
      <c r="BW53" s="22" t="str">
        <f>_xlfn.XLOOKUP(A53,'United MAMP All Components'!A:A,'United MAMP All Components'!AM:AM)</f>
        <v>0.00</v>
      </c>
      <c r="BX53" s="10">
        <f t="shared" si="24"/>
        <v>0</v>
      </c>
      <c r="BY53" s="10">
        <f>_xlfn.XLOOKUP(A53,'Icyte Report'!A:A,'Icyte Report'!CD:CD)</f>
        <v>0</v>
      </c>
      <c r="BZ53" s="10" t="str">
        <f>_xlfn.XLOOKUP(A53,'United_Smoothed Price Concessio'!A:A,'United_Smoothed Price Concessio'!D:D)</f>
        <v>$0.00</v>
      </c>
      <c r="CA53" s="10">
        <f t="shared" si="25"/>
        <v>0</v>
      </c>
      <c r="CB53" s="10">
        <f>_xlfn.XLOOKUP(A53,'Icyte Report'!A:A,'Icyte Report'!CF:CF)</f>
        <v>0</v>
      </c>
      <c r="CC53" s="10" t="e">
        <f>_xlfn.XLOOKUP(A53,'United Smoothed Indirect Inelig'!A:A,'United Smoothed Indirect Inelig'!F:F)</f>
        <v>#N/A</v>
      </c>
      <c r="CD53" s="10" t="e">
        <f t="shared" si="26"/>
        <v>#N/A</v>
      </c>
      <c r="CE53" s="10">
        <f>_xlfn.XLOOKUP(A53,'Icyte Report'!A:A,'Icyte Report'!CL:CL)</f>
        <v>-43954456.239344262</v>
      </c>
      <c r="CF53" s="10" t="str">
        <f>_xlfn.XLOOKUP(A53,'United_Smoothed Price Concessio'!A:A,'United_Smoothed Price Concessio'!H:H)</f>
        <v>$0.00</v>
      </c>
      <c r="CG53" s="10">
        <f t="shared" si="27"/>
        <v>-43954456.239344262</v>
      </c>
      <c r="CH53" s="10">
        <f>_xlfn.XLOOKUP(A53,'Icyte Report'!A:A,'Icyte Report'!CY:CY)</f>
        <v>0</v>
      </c>
      <c r="CI53" s="10" t="str">
        <f>_xlfn.XLOOKUP(A53,'United_Smoothed Price Concessio'!A:A,'United_Smoothed Price Concessio'!C:C)</f>
        <v>$0.00</v>
      </c>
      <c r="CJ53" s="10">
        <f t="shared" si="28"/>
        <v>0</v>
      </c>
      <c r="CK53" s="10">
        <f>_xlfn.XLOOKUP(A53,'Icyte Report'!A:A,'Icyte Report'!CZ:CZ)</f>
        <v>0</v>
      </c>
      <c r="CL53" s="10" t="str">
        <f>_xlfn.XLOOKUP(A53,'United_Smoothed Price Concessio'!A:A,'United_Smoothed Price Concessio'!G:G)</f>
        <v>$0.00</v>
      </c>
      <c r="CM53" s="10">
        <f t="shared" si="29"/>
        <v>0</v>
      </c>
      <c r="CN53" s="13">
        <f>_xlfn.XLOOKUP(A53,'Icyte Report'!A:A,'Icyte Report'!DA:DA)</f>
        <v>0</v>
      </c>
      <c r="CO53" s="13" t="str">
        <f>_xlfn.XLOOKUP(A53,'United_Smoothed Price Concessio'!A:A,'United_Smoothed Price Concessio'!I:I)</f>
        <v>0.000000%</v>
      </c>
      <c r="CP53" s="10">
        <f t="shared" si="30"/>
        <v>0</v>
      </c>
      <c r="CQ53" s="10">
        <f>_xlfn.XLOOKUP(A53,'Icyte Report'!A:A,'Icyte Report'!DB:DB)</f>
        <v>0</v>
      </c>
      <c r="CR53" s="10" t="str">
        <f>_xlfn.XLOOKUP(A53,'United MAMP All Components'!A:A,'United MAMP All Components'!AX:AX)</f>
        <v>0.00</v>
      </c>
      <c r="CS53" s="10">
        <f t="shared" si="31"/>
        <v>0</v>
      </c>
      <c r="CT53" s="10">
        <f>_xlfn.XLOOKUP(A53,'Icyte Report'!A:A,'Icyte Report'!DC:DC)</f>
        <v>0</v>
      </c>
      <c r="CU53" s="10" t="str">
        <f>_xlfn.XLOOKUP(A53,'United MAMP All Components'!A:A,'United MAMP All Components'!BA:BA)</f>
        <v>0.00</v>
      </c>
      <c r="CV53" s="10">
        <f t="shared" si="32"/>
        <v>0</v>
      </c>
      <c r="CW53" s="10">
        <f>_xlfn.XLOOKUP(A53,'Icyte Report'!A:A,'Icyte Report'!DD:DD)</f>
        <v>0</v>
      </c>
      <c r="CX53" s="10" t="str">
        <f>_xlfn.XLOOKUP(A53,'United MAMP All Components'!A:A,'United MAMP All Components'!BD:BD)</f>
        <v>0.00</v>
      </c>
      <c r="CY53" s="10">
        <f t="shared" si="33"/>
        <v>0</v>
      </c>
      <c r="CZ53" s="10">
        <f>_xlfn.XLOOKUP(A53,'Icyte Report'!A:A,'Icyte Report'!DE:DE)</f>
        <v>0</v>
      </c>
      <c r="DA53" s="10" t="str">
        <f>_xlfn.XLOOKUP(A53,'United MAMP All Components'!A:A,'United MAMP All Components'!BE:BE)</f>
        <v>0.00</v>
      </c>
      <c r="DB53" s="10">
        <f t="shared" si="34"/>
        <v>0</v>
      </c>
      <c r="DC53" s="10">
        <f>_xlfn.XLOOKUP(A53,'Icyte Report'!A:A,'Icyte Report'!DI:DI)</f>
        <v>138.87860000000001</v>
      </c>
      <c r="DD53" s="10" t="str">
        <f>_xlfn.XLOOKUP(A53,'United MAMP All Components'!A:A,'United MAMP All Components'!BG:BG)</f>
        <v>138.878600</v>
      </c>
      <c r="DE53" s="10">
        <f t="shared" si="35"/>
        <v>0</v>
      </c>
    </row>
    <row r="54" spans="1:109" x14ac:dyDescent="0.35">
      <c r="A54" s="10" t="s">
        <v>175</v>
      </c>
      <c r="B54" s="10" t="s">
        <v>434</v>
      </c>
      <c r="C54" s="10">
        <f>_xlfn.XLOOKUP(A54,'Icyte Report'!A:A,'Icyte Report'!W:W)</f>
        <v>0</v>
      </c>
      <c r="D54" s="10" t="str">
        <f>_xlfn.XLOOKUP(A54,'United MAMP All Components'!A:A,'United MAMP All Components'!B:B)</f>
        <v>0.00</v>
      </c>
      <c r="E54" s="10">
        <f t="shared" si="0"/>
        <v>0</v>
      </c>
      <c r="F54" s="10">
        <f>_xlfn.XLOOKUP(A54,'Icyte Report'!A:A,'Icyte Report'!X:X)</f>
        <v>0</v>
      </c>
      <c r="G54" s="10" t="str">
        <f>_xlfn.XLOOKUP(A54,'United MAMP All Components'!A:A,'United MAMP All Components'!C:C)</f>
        <v>0.00</v>
      </c>
      <c r="H54" s="10">
        <f t="shared" si="1"/>
        <v>0</v>
      </c>
      <c r="I54" s="10">
        <f>_xlfn.XLOOKUP(A54,'Icyte Report'!A:A,'Icyte Report'!Y:Y)</f>
        <v>0</v>
      </c>
      <c r="J54" s="10" t="str">
        <f>_xlfn.XLOOKUP(A54,'United MAMP All Components'!A:A,'United MAMP All Components'!E:E)</f>
        <v>0.00</v>
      </c>
      <c r="K54" s="10">
        <f t="shared" si="2"/>
        <v>0</v>
      </c>
      <c r="L54" s="10">
        <f>_xlfn.XLOOKUP(A54,'Icyte Report'!A:A,'Icyte Report'!Z:Z)</f>
        <v>0</v>
      </c>
      <c r="M54" s="10" t="str">
        <f>_xlfn.XLOOKUP(A54,'United MAMP All Components'!A:A,'United MAMP All Components'!F:F)</f>
        <v>0.00</v>
      </c>
      <c r="N54" s="10">
        <f t="shared" si="3"/>
        <v>0</v>
      </c>
      <c r="O54" s="10">
        <f>_xlfn.XLOOKUP(A54,'Icyte Report'!A:A,'Icyte Report'!AA:AA)</f>
        <v>0</v>
      </c>
      <c r="P54" s="10" t="str">
        <f>_xlfn.XLOOKUP(A54,'United MAMP All Components'!A:A,'United MAMP All Components'!H:H)</f>
        <v>0.00</v>
      </c>
      <c r="Q54" s="10">
        <f t="shared" si="4"/>
        <v>0</v>
      </c>
      <c r="R54" s="10">
        <f>_xlfn.XLOOKUP(A54,'Icyte Report'!A:A,'Icyte Report'!AB:AB)</f>
        <v>0</v>
      </c>
      <c r="S54" s="10" t="str">
        <f>_xlfn.XLOOKUP(A54,'United MAMP All Components'!A:A,'United MAMP All Components'!I:I)</f>
        <v>0.00</v>
      </c>
      <c r="T54" s="10">
        <f t="shared" si="5"/>
        <v>0</v>
      </c>
      <c r="U54" s="10">
        <f>_xlfn.XLOOKUP(A54,'Icyte Report'!A:A,'Icyte Report'!AC:AC)</f>
        <v>0</v>
      </c>
      <c r="V54" s="10" t="str">
        <f>_xlfn.XLOOKUP(A54,'United MAMP All Components'!A:A,'United MAMP All Components'!K:K)</f>
        <v>0.00</v>
      </c>
      <c r="W54" s="10">
        <f t="shared" si="6"/>
        <v>0</v>
      </c>
      <c r="X54" s="10">
        <f>_xlfn.XLOOKUP(A54,'Icyte Report'!A:A,'Icyte Report'!AD:AD)</f>
        <v>0</v>
      </c>
      <c r="Y54" s="10" t="str">
        <f>_xlfn.XLOOKUP(A54,'United MAMP All Components'!A:A,'United MAMP All Components'!L:L)</f>
        <v>0.00</v>
      </c>
      <c r="Z54" s="10">
        <f t="shared" si="7"/>
        <v>0</v>
      </c>
      <c r="AA54" s="10">
        <f>_xlfn.XLOOKUP(A54,'Icyte Report'!A:A,'Icyte Report'!AE:AE)</f>
        <v>0</v>
      </c>
      <c r="AB54" s="10" t="str">
        <f>_xlfn.XLOOKUP(A54,'United MAMP All Components'!A:A,'United MAMP All Components'!N:N)</f>
        <v>0.00</v>
      </c>
      <c r="AC54" s="10">
        <f t="shared" si="8"/>
        <v>0</v>
      </c>
      <c r="AD54" s="10">
        <f>_xlfn.XLOOKUP(A54,'Icyte Report'!A:A,'Icyte Report'!AF:AF)</f>
        <v>0</v>
      </c>
      <c r="AE54" s="10" t="str">
        <f>_xlfn.XLOOKUP(A54,'United MAMP All Components'!A:A,'United MAMP All Components'!O:O)</f>
        <v>0.00</v>
      </c>
      <c r="AF54" s="10">
        <f t="shared" si="9"/>
        <v>0</v>
      </c>
      <c r="AG54" s="10">
        <f>_xlfn.XLOOKUP(A54,'Icyte Report'!A:A,'Icyte Report'!AG:AG)</f>
        <v>0</v>
      </c>
      <c r="AH54" s="10" t="str">
        <f>_xlfn.XLOOKUP(A54,'United MAMP All Components'!A:A,'United MAMP All Components'!Q:Q)</f>
        <v>0.00</v>
      </c>
      <c r="AI54" s="10">
        <f t="shared" si="10"/>
        <v>0</v>
      </c>
      <c r="AJ54" s="10">
        <f>_xlfn.XLOOKUP(A54,'Icyte Report'!A:A,'Icyte Report'!AH:AH)</f>
        <v>0</v>
      </c>
      <c r="AK54" s="10" t="str">
        <f>_xlfn.XLOOKUP(A54,'United MAMP All Components'!A:A,'United MAMP All Components'!R:R)</f>
        <v>0.00</v>
      </c>
      <c r="AL54" s="10">
        <f t="shared" si="11"/>
        <v>0</v>
      </c>
      <c r="AM54" s="10">
        <f>_xlfn.XLOOKUP(A54,'Icyte Report'!A:A,'Icyte Report'!AS:AS)</f>
        <v>0</v>
      </c>
      <c r="AN54" s="10" t="str">
        <f>_xlfn.XLOOKUP(A54,'United MAMP All Components'!A:A,'United MAMP All Components'!T:T)</f>
        <v>0.00</v>
      </c>
      <c r="AO54" s="10">
        <f t="shared" si="12"/>
        <v>0</v>
      </c>
      <c r="AP54" s="10">
        <f>_xlfn.XLOOKUP(A54,'Icyte Report'!A:A,'Icyte Report'!AT:AT)</f>
        <v>0</v>
      </c>
      <c r="AQ54" s="10" t="str">
        <f>_xlfn.XLOOKUP(A54,'United MAMP All Components'!A:A,'United MAMP All Components'!U:U)</f>
        <v>0.00</v>
      </c>
      <c r="AR54" s="10">
        <f t="shared" si="13"/>
        <v>0</v>
      </c>
      <c r="AS54" s="10">
        <f>_xlfn.XLOOKUP(A54,'Icyte Report'!A:A,'Icyte Report'!AU:AU)</f>
        <v>0</v>
      </c>
      <c r="AT54" s="10" t="str">
        <f>_xlfn.XLOOKUP(A54,'United MAMP All Components'!A:A,'United MAMP All Components'!AO:AO)</f>
        <v>0.00</v>
      </c>
      <c r="AU54" s="10">
        <f t="shared" si="14"/>
        <v>0</v>
      </c>
      <c r="AV54" s="10">
        <f>_xlfn.XLOOKUP(A54,'Icyte Report'!A:A,'Icyte Report'!AV:AV)</f>
        <v>0</v>
      </c>
      <c r="AW54" s="10" t="str">
        <f>_xlfn.XLOOKUP(A54,'United MAMP All Components'!A:A,'United MAMP All Components'!AP:AP)</f>
        <v>0.00</v>
      </c>
      <c r="AX54" s="10">
        <f t="shared" si="15"/>
        <v>0</v>
      </c>
      <c r="AY54" s="10">
        <f>_xlfn.XLOOKUP(A54,'Icyte Report'!A:A,'Icyte Report'!BH:BH)</f>
        <v>39700</v>
      </c>
      <c r="AZ54" s="10" t="e">
        <f>_xlfn.XLOOKUP(A54,'United Smoothed Indirect Inelig'!A:A,'United Smoothed Indirect Inelig'!D:D)</f>
        <v>#N/A</v>
      </c>
      <c r="BA54" s="10" t="e">
        <f t="shared" si="16"/>
        <v>#N/A</v>
      </c>
      <c r="BB54" s="10">
        <f>_xlfn.XLOOKUP(A54,'Icyte Report'!A:A,'Icyte Report'!BK:BK)</f>
        <v>1327900</v>
      </c>
      <c r="BC54" s="10" t="e">
        <f t="shared" si="17"/>
        <v>#N/A</v>
      </c>
      <c r="BD54" s="10">
        <f>_xlfn.XLOOKUP(A54,'Icyte Report'!A:A,'Icyte Report'!BN:BN)</f>
        <v>0</v>
      </c>
      <c r="BE54" s="10" t="e">
        <f>_xlfn.XLOOKUP(A54,'United Smoothed Indirect Inelig'!A:A,'United Smoothed Indirect Inelig'!C:C)</f>
        <v>#N/A</v>
      </c>
      <c r="BF54" s="10" t="e">
        <f t="shared" si="18"/>
        <v>#N/A</v>
      </c>
      <c r="BG54" s="10">
        <f>_xlfn.XLOOKUP(A54,'Icyte Report'!A:A,'Icyte Report'!BR:BR)</f>
        <v>0</v>
      </c>
      <c r="BH54" s="10" t="e">
        <f>_xlfn.XLOOKUP(A54,'United Smoothed Indirect Inelig'!A:A,'United Smoothed Indirect Inelig'!B:B)</f>
        <v>#N/A</v>
      </c>
      <c r="BI54" s="10" t="e">
        <f t="shared" si="19"/>
        <v>#N/A</v>
      </c>
      <c r="BJ54" s="10">
        <f>_xlfn.XLOOKUP(A54,'Icyte Report'!A:A,'Icyte Report'!BV:BV)</f>
        <v>0</v>
      </c>
      <c r="BK54" s="10" t="e">
        <f>_xlfn.XLOOKUP(A54,'United Smoothed Indirect Inelig'!A:A,'United Smoothed Indirect Inelig'!P:P)</f>
        <v>#N/A</v>
      </c>
      <c r="BL54" s="10" t="e">
        <f t="shared" si="20"/>
        <v>#N/A</v>
      </c>
      <c r="BM54" s="13">
        <f>_xlfn.XLOOKUP(A54,'Icyte Report'!A:A,'Icyte Report'!BW:BW)</f>
        <v>0</v>
      </c>
      <c r="BN54" s="13" t="e">
        <f>_xlfn.XLOOKUP(A54,'United Smoothed Indirect Inelig'!A:A,'United Smoothed Indirect Inelig'!G:G)+_xlfn.XLOOKUP(A54,'United Smoothed Indirect Inelig'!A:A,'United Smoothed Indirect Inelig'!H:H) + _xlfn.XLOOKUP(A54,'United Smoothed Indirect Inelig'!A:A,'United Smoothed Indirect Inelig'!I:I)+_xlfn.XLOOKUP(A54,'United Smoothed Indirect Inelig'!A:A,'United Smoothed Indirect Inelig'!J:J)</f>
        <v>#N/A</v>
      </c>
      <c r="BO54" s="18" t="e">
        <f t="shared" si="21"/>
        <v>#N/A</v>
      </c>
      <c r="BP54" s="10">
        <f>_xlfn.XLOOKUP(A54,'Icyte Report'!A:A,'Icyte Report'!BY:BY)</f>
        <v>0</v>
      </c>
      <c r="BQ54" s="10" t="e">
        <f>_xlfn.XLOOKUP(A54,'United Smoothed Indirect Inelig'!A:A,'United Smoothed Indirect Inelig'!L:L)+_xlfn.XLOOKUP(A54,'United Smoothed Indirect Inelig'!A:A,'United Smoothed Indirect Inelig'!M:M) + _xlfn.XLOOKUP(A54,'United Smoothed Indirect Inelig'!A:A,'United Smoothed Indirect Inelig'!N:N)+_xlfn.XLOOKUP(A54,'United Smoothed Indirect Inelig'!A:A,'United Smoothed Indirect Inelig'!O:O)</f>
        <v>#N/A</v>
      </c>
      <c r="BR54" s="10" t="e">
        <f t="shared" si="22"/>
        <v>#N/A</v>
      </c>
      <c r="BS54" s="10">
        <f>_xlfn.XLOOKUP(A54,'Icyte Report'!A:A,'Icyte Report'!BZ:BZ)</f>
        <v>0</v>
      </c>
      <c r="BT54" s="10" t="str">
        <f>_xlfn.XLOOKUP(A54,'United MAMP All Components'!A:A,'United MAMP All Components'!AL:AL)</f>
        <v>0.00</v>
      </c>
      <c r="BU54" s="10">
        <f t="shared" si="23"/>
        <v>0</v>
      </c>
      <c r="BV54" s="26">
        <f>_xlfn.XLOOKUP(A54,'Icyte Report'!A:A,'Icyte Report'!CA:CA)</f>
        <v>0</v>
      </c>
      <c r="BW54" s="22" t="str">
        <f>_xlfn.XLOOKUP(A54,'United MAMP All Components'!A:A,'United MAMP All Components'!AM:AM)</f>
        <v>0.00</v>
      </c>
      <c r="BX54" s="10">
        <f t="shared" si="24"/>
        <v>0</v>
      </c>
      <c r="BY54" s="10">
        <f>_xlfn.XLOOKUP(A54,'Icyte Report'!A:A,'Icyte Report'!CD:CD)</f>
        <v>0</v>
      </c>
      <c r="BZ54" s="10" t="str">
        <f>_xlfn.XLOOKUP(A54,'United_Smoothed Price Concessio'!A:A,'United_Smoothed Price Concessio'!D:D)</f>
        <v>$0.00</v>
      </c>
      <c r="CA54" s="10">
        <f t="shared" si="25"/>
        <v>0</v>
      </c>
      <c r="CB54" s="10">
        <f>_xlfn.XLOOKUP(A54,'Icyte Report'!A:A,'Icyte Report'!CF:CF)</f>
        <v>0</v>
      </c>
      <c r="CC54" s="10" t="e">
        <f>_xlfn.XLOOKUP(A54,'United Smoothed Indirect Inelig'!A:A,'United Smoothed Indirect Inelig'!F:F)</f>
        <v>#N/A</v>
      </c>
      <c r="CD54" s="10" t="e">
        <f t="shared" si="26"/>
        <v>#N/A</v>
      </c>
      <c r="CE54" s="10">
        <f>_xlfn.XLOOKUP(A54,'Icyte Report'!A:A,'Icyte Report'!CL:CL)</f>
        <v>-372443216.13114762</v>
      </c>
      <c r="CF54" s="10" t="str">
        <f>_xlfn.XLOOKUP(A54,'United_Smoothed Price Concessio'!A:A,'United_Smoothed Price Concessio'!H:H)</f>
        <v>$0.00</v>
      </c>
      <c r="CG54" s="10">
        <f t="shared" si="27"/>
        <v>-372443216.13114762</v>
      </c>
      <c r="CH54" s="10">
        <f>_xlfn.XLOOKUP(A54,'Icyte Report'!A:A,'Icyte Report'!CY:CY)</f>
        <v>0</v>
      </c>
      <c r="CI54" s="10" t="str">
        <f>_xlfn.XLOOKUP(A54,'United_Smoothed Price Concessio'!A:A,'United_Smoothed Price Concessio'!C:C)</f>
        <v>$0.00</v>
      </c>
      <c r="CJ54" s="10">
        <f t="shared" si="28"/>
        <v>0</v>
      </c>
      <c r="CK54" s="10">
        <f>_xlfn.XLOOKUP(A54,'Icyte Report'!A:A,'Icyte Report'!CZ:CZ)</f>
        <v>0</v>
      </c>
      <c r="CL54" s="10" t="str">
        <f>_xlfn.XLOOKUP(A54,'United_Smoothed Price Concessio'!A:A,'United_Smoothed Price Concessio'!G:G)</f>
        <v>$0.00</v>
      </c>
      <c r="CM54" s="10">
        <f t="shared" si="29"/>
        <v>0</v>
      </c>
      <c r="CN54" s="13">
        <f>_xlfn.XLOOKUP(A54,'Icyte Report'!A:A,'Icyte Report'!DA:DA)</f>
        <v>0</v>
      </c>
      <c r="CO54" s="13" t="str">
        <f>_xlfn.XLOOKUP(A54,'United_Smoothed Price Concessio'!A:A,'United_Smoothed Price Concessio'!I:I)</f>
        <v>0.000000%</v>
      </c>
      <c r="CP54" s="10">
        <f t="shared" si="30"/>
        <v>0</v>
      </c>
      <c r="CQ54" s="10">
        <f>_xlfn.XLOOKUP(A54,'Icyte Report'!A:A,'Icyte Report'!DB:DB)</f>
        <v>0</v>
      </c>
      <c r="CR54" s="10" t="str">
        <f>_xlfn.XLOOKUP(A54,'United MAMP All Components'!A:A,'United MAMP All Components'!AX:AX)</f>
        <v>0.00</v>
      </c>
      <c r="CS54" s="10">
        <f t="shared" si="31"/>
        <v>0</v>
      </c>
      <c r="CT54" s="10">
        <f>_xlfn.XLOOKUP(A54,'Icyte Report'!A:A,'Icyte Report'!DC:DC)</f>
        <v>0</v>
      </c>
      <c r="CU54" s="10" t="str">
        <f>_xlfn.XLOOKUP(A54,'United MAMP All Components'!A:A,'United MAMP All Components'!BA:BA)</f>
        <v>0.00</v>
      </c>
      <c r="CV54" s="10">
        <f t="shared" si="32"/>
        <v>0</v>
      </c>
      <c r="CW54" s="10">
        <f>_xlfn.XLOOKUP(A54,'Icyte Report'!A:A,'Icyte Report'!DD:DD)</f>
        <v>0</v>
      </c>
      <c r="CX54" s="10" t="str">
        <f>_xlfn.XLOOKUP(A54,'United MAMP All Components'!A:A,'United MAMP All Components'!BD:BD)</f>
        <v>0.00</v>
      </c>
      <c r="CY54" s="10">
        <f t="shared" si="33"/>
        <v>0</v>
      </c>
      <c r="CZ54" s="10">
        <f>_xlfn.XLOOKUP(A54,'Icyte Report'!A:A,'Icyte Report'!DE:DE)</f>
        <v>0</v>
      </c>
      <c r="DA54" s="10" t="str">
        <f>_xlfn.XLOOKUP(A54,'United MAMP All Components'!A:A,'United MAMP All Components'!BE:BE)</f>
        <v>0.00</v>
      </c>
      <c r="DB54" s="10">
        <f t="shared" si="34"/>
        <v>0</v>
      </c>
      <c r="DC54" s="10">
        <f>_xlfn.XLOOKUP(A54,'Icyte Report'!A:A,'Icyte Report'!DI:DI)</f>
        <v>277.75700000000001</v>
      </c>
      <c r="DD54" s="10" t="str">
        <f>_xlfn.XLOOKUP(A54,'United MAMP All Components'!A:A,'United MAMP All Components'!BG:BG)</f>
        <v>277.757000</v>
      </c>
      <c r="DE54" s="10">
        <f t="shared" si="35"/>
        <v>0</v>
      </c>
    </row>
    <row r="55" spans="1:109" x14ac:dyDescent="0.35">
      <c r="A55" s="10" t="s">
        <v>223</v>
      </c>
      <c r="B55" s="10" t="s">
        <v>461</v>
      </c>
      <c r="C55" s="10">
        <f>_xlfn.XLOOKUP(A55,'Icyte Report'!A:A,'Icyte Report'!W:W)</f>
        <v>0</v>
      </c>
      <c r="D55" s="10" t="str">
        <f>_xlfn.XLOOKUP(A55,'United MAMP All Components'!A:A,'United MAMP All Components'!B:B)</f>
        <v>65,771.40</v>
      </c>
      <c r="E55" s="10">
        <f t="shared" si="0"/>
        <v>-65771.399999999994</v>
      </c>
      <c r="F55" s="10">
        <f>_xlfn.XLOOKUP(A55,'Icyte Report'!A:A,'Icyte Report'!X:X)</f>
        <v>0</v>
      </c>
      <c r="G55" s="10" t="str">
        <f>_xlfn.XLOOKUP(A55,'United MAMP All Components'!A:A,'United MAMP All Components'!C:C)</f>
        <v>20.00</v>
      </c>
      <c r="H55" s="10">
        <f t="shared" si="1"/>
        <v>-20</v>
      </c>
      <c r="I55" s="10">
        <f>_xlfn.XLOOKUP(A55,'Icyte Report'!A:A,'Icyte Report'!Y:Y)</f>
        <v>0</v>
      </c>
      <c r="J55" s="10" t="str">
        <f>_xlfn.XLOOKUP(A55,'United MAMP All Components'!A:A,'United MAMP All Components'!E:E)</f>
        <v>0.00</v>
      </c>
      <c r="K55" s="10">
        <f t="shared" si="2"/>
        <v>0</v>
      </c>
      <c r="L55" s="10">
        <f>_xlfn.XLOOKUP(A55,'Icyte Report'!A:A,'Icyte Report'!Z:Z)</f>
        <v>0</v>
      </c>
      <c r="M55" s="10" t="str">
        <f>_xlfn.XLOOKUP(A55,'United MAMP All Components'!A:A,'United MAMP All Components'!F:F)</f>
        <v>0.00</v>
      </c>
      <c r="N55" s="10">
        <f t="shared" si="3"/>
        <v>0</v>
      </c>
      <c r="O55" s="10">
        <f>_xlfn.XLOOKUP(A55,'Icyte Report'!A:A,'Icyte Report'!AA:AA)</f>
        <v>0</v>
      </c>
      <c r="P55" s="10" t="str">
        <f>_xlfn.XLOOKUP(A55,'United MAMP All Components'!A:A,'United MAMP All Components'!H:H)</f>
        <v>0.00</v>
      </c>
      <c r="Q55" s="10">
        <f t="shared" si="4"/>
        <v>0</v>
      </c>
      <c r="R55" s="10">
        <f>_xlfn.XLOOKUP(A55,'Icyte Report'!A:A,'Icyte Report'!AB:AB)</f>
        <v>0</v>
      </c>
      <c r="S55" s="10" t="str">
        <f>_xlfn.XLOOKUP(A55,'United MAMP All Components'!A:A,'United MAMP All Components'!I:I)</f>
        <v>0.00</v>
      </c>
      <c r="T55" s="10">
        <f t="shared" si="5"/>
        <v>0</v>
      </c>
      <c r="U55" s="10">
        <f>_xlfn.XLOOKUP(A55,'Icyte Report'!A:A,'Icyte Report'!AC:AC)</f>
        <v>0</v>
      </c>
      <c r="V55" s="10" t="str">
        <f>_xlfn.XLOOKUP(A55,'United MAMP All Components'!A:A,'United MAMP All Components'!K:K)</f>
        <v>0.00</v>
      </c>
      <c r="W55" s="10">
        <f t="shared" si="6"/>
        <v>0</v>
      </c>
      <c r="X55" s="10">
        <f>_xlfn.XLOOKUP(A55,'Icyte Report'!A:A,'Icyte Report'!AD:AD)</f>
        <v>0</v>
      </c>
      <c r="Y55" s="10" t="str">
        <f>_xlfn.XLOOKUP(A55,'United MAMP All Components'!A:A,'United MAMP All Components'!L:L)</f>
        <v>0.00</v>
      </c>
      <c r="Z55" s="10">
        <f t="shared" si="7"/>
        <v>0</v>
      </c>
      <c r="AA55" s="10">
        <f>_xlfn.XLOOKUP(A55,'Icyte Report'!A:A,'Icyte Report'!AE:AE)</f>
        <v>0</v>
      </c>
      <c r="AB55" s="10" t="str">
        <f>_xlfn.XLOOKUP(A55,'United MAMP All Components'!A:A,'United MAMP All Components'!N:N)</f>
        <v>0.00</v>
      </c>
      <c r="AC55" s="10">
        <f t="shared" si="8"/>
        <v>0</v>
      </c>
      <c r="AD55" s="10">
        <f>_xlfn.XLOOKUP(A55,'Icyte Report'!A:A,'Icyte Report'!AF:AF)</f>
        <v>0</v>
      </c>
      <c r="AE55" s="10" t="str">
        <f>_xlfn.XLOOKUP(A55,'United MAMP All Components'!A:A,'United MAMP All Components'!O:O)</f>
        <v>0.00</v>
      </c>
      <c r="AF55" s="10">
        <f t="shared" si="9"/>
        <v>0</v>
      </c>
      <c r="AG55" s="10">
        <f>_xlfn.XLOOKUP(A55,'Icyte Report'!A:A,'Icyte Report'!AG:AG)</f>
        <v>0</v>
      </c>
      <c r="AH55" s="10" t="str">
        <f>_xlfn.XLOOKUP(A55,'United MAMP All Components'!A:A,'United MAMP All Components'!Q:Q)</f>
        <v>0.00</v>
      </c>
      <c r="AI55" s="10">
        <f t="shared" si="10"/>
        <v>0</v>
      </c>
      <c r="AJ55" s="10">
        <f>_xlfn.XLOOKUP(A55,'Icyte Report'!A:A,'Icyte Report'!AH:AH)</f>
        <v>0</v>
      </c>
      <c r="AK55" s="10" t="str">
        <f>_xlfn.XLOOKUP(A55,'United MAMP All Components'!A:A,'United MAMP All Components'!R:R)</f>
        <v>0.00</v>
      </c>
      <c r="AL55" s="10">
        <f t="shared" si="11"/>
        <v>0</v>
      </c>
      <c r="AM55" s="10">
        <f>_xlfn.XLOOKUP(A55,'Icyte Report'!A:A,'Icyte Report'!AS:AS)</f>
        <v>0</v>
      </c>
      <c r="AN55" s="10" t="str">
        <f>_xlfn.XLOOKUP(A55,'United MAMP All Components'!A:A,'United MAMP All Components'!T:T)</f>
        <v>65,771.40</v>
      </c>
      <c r="AO55" s="10">
        <f t="shared" si="12"/>
        <v>-65771.399999999994</v>
      </c>
      <c r="AP55" s="10">
        <f>_xlfn.XLOOKUP(A55,'Icyte Report'!A:A,'Icyte Report'!AT:AT)</f>
        <v>0</v>
      </c>
      <c r="AQ55" s="10" t="str">
        <f>_xlfn.XLOOKUP(A55,'United MAMP All Components'!A:A,'United MAMP All Components'!U:U)</f>
        <v>20.00</v>
      </c>
      <c r="AR55" s="10">
        <f t="shared" si="13"/>
        <v>-20</v>
      </c>
      <c r="AS55" s="10">
        <f>_xlfn.XLOOKUP(A55,'Icyte Report'!A:A,'Icyte Report'!AU:AU)</f>
        <v>0</v>
      </c>
      <c r="AT55" s="10" t="str">
        <f>_xlfn.XLOOKUP(A55,'United MAMP All Components'!A:A,'United MAMP All Components'!AO:AO)</f>
        <v>0.00</v>
      </c>
      <c r="AU55" s="10">
        <f t="shared" si="14"/>
        <v>0</v>
      </c>
      <c r="AV55" s="10">
        <f>_xlfn.XLOOKUP(A55,'Icyte Report'!A:A,'Icyte Report'!AV:AV)</f>
        <v>0</v>
      </c>
      <c r="AW55" s="10" t="str">
        <f>_xlfn.XLOOKUP(A55,'United MAMP All Components'!A:A,'United MAMP All Components'!AP:AP)</f>
        <v>0.00</v>
      </c>
      <c r="AX55" s="10">
        <f t="shared" si="15"/>
        <v>0</v>
      </c>
      <c r="AY55" s="10">
        <f>_xlfn.XLOOKUP(A55,'Icyte Report'!A:A,'Icyte Report'!BH:BH)</f>
        <v>0</v>
      </c>
      <c r="AZ55" s="10" t="e">
        <f>_xlfn.XLOOKUP(A55,'United Smoothed Indirect Inelig'!A:A,'United Smoothed Indirect Inelig'!D:D)</f>
        <v>#N/A</v>
      </c>
      <c r="BA55" s="10" t="e">
        <f t="shared" si="16"/>
        <v>#N/A</v>
      </c>
      <c r="BB55" s="10">
        <f>_xlfn.XLOOKUP(A55,'Icyte Report'!A:A,'Icyte Report'!BK:BK)</f>
        <v>0</v>
      </c>
      <c r="BC55" s="10" t="e">
        <f t="shared" si="17"/>
        <v>#N/A</v>
      </c>
      <c r="BD55" s="10">
        <f>_xlfn.XLOOKUP(A55,'Icyte Report'!A:A,'Icyte Report'!BN:BN)</f>
        <v>0</v>
      </c>
      <c r="BE55" s="10" t="e">
        <f>_xlfn.XLOOKUP(A55,'United Smoothed Indirect Inelig'!A:A,'United Smoothed Indirect Inelig'!C:C)</f>
        <v>#N/A</v>
      </c>
      <c r="BF55" s="10" t="e">
        <f t="shared" si="18"/>
        <v>#N/A</v>
      </c>
      <c r="BG55" s="10">
        <f>_xlfn.XLOOKUP(A55,'Icyte Report'!A:A,'Icyte Report'!BR:BR)</f>
        <v>0</v>
      </c>
      <c r="BH55" s="10" t="e">
        <f>_xlfn.XLOOKUP(A55,'United Smoothed Indirect Inelig'!A:A,'United Smoothed Indirect Inelig'!B:B)</f>
        <v>#N/A</v>
      </c>
      <c r="BI55" s="10" t="e">
        <f t="shared" si="19"/>
        <v>#N/A</v>
      </c>
      <c r="BJ55" s="10">
        <f>_xlfn.XLOOKUP(A55,'Icyte Report'!A:A,'Icyte Report'!BV:BV)</f>
        <v>0</v>
      </c>
      <c r="BK55" s="10" t="e">
        <f>_xlfn.XLOOKUP(A55,'United Smoothed Indirect Inelig'!A:A,'United Smoothed Indirect Inelig'!P:P)</f>
        <v>#N/A</v>
      </c>
      <c r="BL55" s="10" t="e">
        <f t="shared" si="20"/>
        <v>#N/A</v>
      </c>
      <c r="BM55" s="13">
        <f>_xlfn.XLOOKUP(A55,'Icyte Report'!A:A,'Icyte Report'!BW:BW)</f>
        <v>0</v>
      </c>
      <c r="BN55" s="13" t="e">
        <f>_xlfn.XLOOKUP(A55,'United Smoothed Indirect Inelig'!A:A,'United Smoothed Indirect Inelig'!G:G)+_xlfn.XLOOKUP(A55,'United Smoothed Indirect Inelig'!A:A,'United Smoothed Indirect Inelig'!H:H) + _xlfn.XLOOKUP(A55,'United Smoothed Indirect Inelig'!A:A,'United Smoothed Indirect Inelig'!I:I)+_xlfn.XLOOKUP(A55,'United Smoothed Indirect Inelig'!A:A,'United Smoothed Indirect Inelig'!J:J)</f>
        <v>#N/A</v>
      </c>
      <c r="BO55" s="18" t="e">
        <f t="shared" si="21"/>
        <v>#N/A</v>
      </c>
      <c r="BP55" s="10">
        <f>_xlfn.XLOOKUP(A55,'Icyte Report'!A:A,'Icyte Report'!BY:BY)</f>
        <v>0</v>
      </c>
      <c r="BQ55" s="10" t="e">
        <f>_xlfn.XLOOKUP(A55,'United Smoothed Indirect Inelig'!A:A,'United Smoothed Indirect Inelig'!L:L)+_xlfn.XLOOKUP(A55,'United Smoothed Indirect Inelig'!A:A,'United Smoothed Indirect Inelig'!M:M) + _xlfn.XLOOKUP(A55,'United Smoothed Indirect Inelig'!A:A,'United Smoothed Indirect Inelig'!N:N)+_xlfn.XLOOKUP(A55,'United Smoothed Indirect Inelig'!A:A,'United Smoothed Indirect Inelig'!O:O)</f>
        <v>#N/A</v>
      </c>
      <c r="BR55" s="10" t="e">
        <f t="shared" si="22"/>
        <v>#N/A</v>
      </c>
      <c r="BS55" s="10">
        <f>_xlfn.XLOOKUP(A55,'Icyte Report'!A:A,'Icyte Report'!BZ:BZ)</f>
        <v>0</v>
      </c>
      <c r="BT55" s="10" t="str">
        <f>_xlfn.XLOOKUP(A55,'United MAMP All Components'!A:A,'United MAMP All Components'!AL:AL)</f>
        <v>65,771.40</v>
      </c>
      <c r="BU55" s="10">
        <f t="shared" si="23"/>
        <v>-65771.399999999994</v>
      </c>
      <c r="BV55" s="26">
        <f>_xlfn.XLOOKUP(A55,'Icyte Report'!A:A,'Icyte Report'!CA:CA)</f>
        <v>0</v>
      </c>
      <c r="BW55" s="22" t="str">
        <f>_xlfn.XLOOKUP(A55,'United MAMP All Components'!A:A,'United MAMP All Components'!AM:AM)</f>
        <v>20.00</v>
      </c>
      <c r="BX55" s="10">
        <f t="shared" si="24"/>
        <v>-20</v>
      </c>
      <c r="BY55" s="10">
        <f>_xlfn.XLOOKUP(A55,'Icyte Report'!A:A,'Icyte Report'!CD:CD)</f>
        <v>0</v>
      </c>
      <c r="BZ55" s="10" t="str">
        <f>_xlfn.XLOOKUP(A55,'United_Smoothed Price Concessio'!A:A,'United_Smoothed Price Concessio'!D:D)</f>
        <v>$0.00</v>
      </c>
      <c r="CA55" s="10">
        <f t="shared" si="25"/>
        <v>0</v>
      </c>
      <c r="CB55" s="10">
        <f>_xlfn.XLOOKUP(A55,'Icyte Report'!A:A,'Icyte Report'!CF:CF)</f>
        <v>80</v>
      </c>
      <c r="CC55" s="10" t="e">
        <f>_xlfn.XLOOKUP(A55,'United Smoothed Indirect Inelig'!A:A,'United Smoothed Indirect Inelig'!F:F)</f>
        <v>#N/A</v>
      </c>
      <c r="CD55" s="10" t="e">
        <f t="shared" si="26"/>
        <v>#N/A</v>
      </c>
      <c r="CE55" s="10">
        <f>_xlfn.XLOOKUP(A55,'Icyte Report'!A:A,'Icyte Report'!CL:CL)</f>
        <v>263085.59999999998</v>
      </c>
      <c r="CF55" s="10" t="str">
        <f>_xlfn.XLOOKUP(A55,'United_Smoothed Price Concessio'!A:A,'United_Smoothed Price Concessio'!H:H)</f>
        <v>$328,857.00</v>
      </c>
      <c r="CG55" s="10">
        <f t="shared" si="27"/>
        <v>-65771.400000000023</v>
      </c>
      <c r="CH55" s="10">
        <f>_xlfn.XLOOKUP(A55,'Icyte Report'!A:A,'Icyte Report'!CY:CY)</f>
        <v>279.52845000000002</v>
      </c>
      <c r="CI55" s="10" t="str">
        <f>_xlfn.XLOOKUP(A55,'United_Smoothed Price Concessio'!A:A,'United_Smoothed Price Concessio'!C:C)</f>
        <v>$0.00</v>
      </c>
      <c r="CJ55" s="10">
        <f t="shared" si="28"/>
        <v>279.52845000000002</v>
      </c>
      <c r="CK55" s="10">
        <f>_xlfn.XLOOKUP(A55,'Icyte Report'!A:A,'Icyte Report'!CZ:CZ)</f>
        <v>279.52845000000002</v>
      </c>
      <c r="CL55" s="10" t="str">
        <f>_xlfn.XLOOKUP(A55,'United_Smoothed Price Concessio'!A:A,'United_Smoothed Price Concessio'!G:G)</f>
        <v>$838.59</v>
      </c>
      <c r="CM55" s="10">
        <f t="shared" si="29"/>
        <v>-559.06155000000001</v>
      </c>
      <c r="CN55" s="13">
        <f>_xlfn.XLOOKUP(A55,'Icyte Report'!A:A,'Icyte Report'!DA:DA)</f>
        <v>1.0625000000000001E-3</v>
      </c>
      <c r="CO55" s="13" t="str">
        <f>_xlfn.XLOOKUP(A55,'United_Smoothed Price Concessio'!A:A,'United_Smoothed Price Concessio'!I:I)</f>
        <v>0.255000%</v>
      </c>
      <c r="CP55" s="10">
        <f t="shared" si="30"/>
        <v>-1.4875000000000001E-3</v>
      </c>
      <c r="CQ55" s="10">
        <f>_xlfn.XLOOKUP(A55,'Icyte Report'!A:A,'Icyte Report'!DB:DB)</f>
        <v>0</v>
      </c>
      <c r="CR55" s="10" t="str">
        <f>_xlfn.XLOOKUP(A55,'United MAMP All Components'!A:A,'United MAMP All Components'!AX:AX)</f>
        <v>167.72</v>
      </c>
      <c r="CS55" s="10">
        <f t="shared" si="31"/>
        <v>-167.72</v>
      </c>
      <c r="CT55" s="10">
        <f>_xlfn.XLOOKUP(A55,'Icyte Report'!A:A,'Icyte Report'!DC:DC)</f>
        <v>0</v>
      </c>
      <c r="CU55" s="10" t="str">
        <f>_xlfn.XLOOKUP(A55,'United MAMP All Components'!A:A,'United MAMP All Components'!BA:BA)</f>
        <v>1,315.43</v>
      </c>
      <c r="CV55" s="10">
        <f t="shared" si="32"/>
        <v>-1315.43</v>
      </c>
      <c r="CW55" s="10">
        <f>_xlfn.XLOOKUP(A55,'Icyte Report'!A:A,'Icyte Report'!DD:DD)</f>
        <v>0</v>
      </c>
      <c r="CX55" s="10" t="str">
        <f>_xlfn.XLOOKUP(A55,'United MAMP All Components'!A:A,'United MAMP All Components'!BD:BD)</f>
        <v>64,288.25</v>
      </c>
      <c r="CY55" s="10">
        <f t="shared" si="33"/>
        <v>-64288.25</v>
      </c>
      <c r="CZ55" s="10">
        <f>_xlfn.XLOOKUP(A55,'Icyte Report'!A:A,'Icyte Report'!DE:DE)</f>
        <v>0</v>
      </c>
      <c r="DA55" s="10" t="str">
        <f>_xlfn.XLOOKUP(A55,'United MAMP All Components'!A:A,'United MAMP All Components'!BE:BE)</f>
        <v>20.00</v>
      </c>
      <c r="DB55" s="10">
        <f t="shared" si="34"/>
        <v>-20</v>
      </c>
      <c r="DC55" s="10">
        <f>_xlfn.XLOOKUP(A55,'Icyte Report'!A:A,'Icyte Report'!DI:DI)</f>
        <v>3222.7986000000001</v>
      </c>
      <c r="DD55" s="10" t="str">
        <f>_xlfn.XLOOKUP(A55,'United MAMP All Components'!A:A,'United MAMP All Components'!BG:BG)</f>
        <v>3,214.412746</v>
      </c>
      <c r="DE55" s="10">
        <f t="shared" si="35"/>
        <v>8.3858540000001085</v>
      </c>
    </row>
    <row r="56" spans="1:109" x14ac:dyDescent="0.35">
      <c r="A56" s="10" t="s">
        <v>225</v>
      </c>
      <c r="B56" s="10" t="s">
        <v>462</v>
      </c>
      <c r="C56" s="10">
        <f>_xlfn.XLOOKUP(A56,'Icyte Report'!A:A,'Icyte Report'!W:W)</f>
        <v>0</v>
      </c>
      <c r="D56" s="10" t="str">
        <f>_xlfn.XLOOKUP(A56,'United MAMP All Components'!A:A,'United MAMP All Components'!B:B)</f>
        <v>65,771.40</v>
      </c>
      <c r="E56" s="10">
        <f t="shared" si="0"/>
        <v>-65771.399999999994</v>
      </c>
      <c r="F56" s="10">
        <f>_xlfn.XLOOKUP(A56,'Icyte Report'!A:A,'Icyte Report'!X:X)</f>
        <v>0</v>
      </c>
      <c r="G56" s="10" t="str">
        <f>_xlfn.XLOOKUP(A56,'United MAMP All Components'!A:A,'United MAMP All Components'!C:C)</f>
        <v>20.00</v>
      </c>
      <c r="H56" s="10">
        <f t="shared" si="1"/>
        <v>-20</v>
      </c>
      <c r="I56" s="10">
        <f>_xlfn.XLOOKUP(A56,'Icyte Report'!A:A,'Icyte Report'!Y:Y)</f>
        <v>0</v>
      </c>
      <c r="J56" s="10" t="str">
        <f>_xlfn.XLOOKUP(A56,'United MAMP All Components'!A:A,'United MAMP All Components'!E:E)</f>
        <v>0.00</v>
      </c>
      <c r="K56" s="10">
        <f t="shared" si="2"/>
        <v>0</v>
      </c>
      <c r="L56" s="10">
        <f>_xlfn.XLOOKUP(A56,'Icyte Report'!A:A,'Icyte Report'!Z:Z)</f>
        <v>0</v>
      </c>
      <c r="M56" s="10" t="str">
        <f>_xlfn.XLOOKUP(A56,'United MAMP All Components'!A:A,'United MAMP All Components'!F:F)</f>
        <v>0.00</v>
      </c>
      <c r="N56" s="10">
        <f t="shared" si="3"/>
        <v>0</v>
      </c>
      <c r="O56" s="10">
        <f>_xlfn.XLOOKUP(A56,'Icyte Report'!A:A,'Icyte Report'!AA:AA)</f>
        <v>0</v>
      </c>
      <c r="P56" s="10" t="str">
        <f>_xlfn.XLOOKUP(A56,'United MAMP All Components'!A:A,'United MAMP All Components'!H:H)</f>
        <v>0.00</v>
      </c>
      <c r="Q56" s="10">
        <f t="shared" si="4"/>
        <v>0</v>
      </c>
      <c r="R56" s="10">
        <f>_xlfn.XLOOKUP(A56,'Icyte Report'!A:A,'Icyte Report'!AB:AB)</f>
        <v>0</v>
      </c>
      <c r="S56" s="10" t="str">
        <f>_xlfn.XLOOKUP(A56,'United MAMP All Components'!A:A,'United MAMP All Components'!I:I)</f>
        <v>0.00</v>
      </c>
      <c r="T56" s="10">
        <f t="shared" si="5"/>
        <v>0</v>
      </c>
      <c r="U56" s="10">
        <f>_xlfn.XLOOKUP(A56,'Icyte Report'!A:A,'Icyte Report'!AC:AC)</f>
        <v>0</v>
      </c>
      <c r="V56" s="10" t="str">
        <f>_xlfn.XLOOKUP(A56,'United MAMP All Components'!A:A,'United MAMP All Components'!K:K)</f>
        <v>0.00</v>
      </c>
      <c r="W56" s="10">
        <f t="shared" si="6"/>
        <v>0</v>
      </c>
      <c r="X56" s="10">
        <f>_xlfn.XLOOKUP(A56,'Icyte Report'!A:A,'Icyte Report'!AD:AD)</f>
        <v>0</v>
      </c>
      <c r="Y56" s="10" t="str">
        <f>_xlfn.XLOOKUP(A56,'United MAMP All Components'!A:A,'United MAMP All Components'!L:L)</f>
        <v>0.00</v>
      </c>
      <c r="Z56" s="10">
        <f t="shared" si="7"/>
        <v>0</v>
      </c>
      <c r="AA56" s="10">
        <f>_xlfn.XLOOKUP(A56,'Icyte Report'!A:A,'Icyte Report'!AE:AE)</f>
        <v>0</v>
      </c>
      <c r="AB56" s="10" t="str">
        <f>_xlfn.XLOOKUP(A56,'United MAMP All Components'!A:A,'United MAMP All Components'!N:N)</f>
        <v>0.00</v>
      </c>
      <c r="AC56" s="10">
        <f t="shared" si="8"/>
        <v>0</v>
      </c>
      <c r="AD56" s="10">
        <f>_xlfn.XLOOKUP(A56,'Icyte Report'!A:A,'Icyte Report'!AF:AF)</f>
        <v>0</v>
      </c>
      <c r="AE56" s="10" t="str">
        <f>_xlfn.XLOOKUP(A56,'United MAMP All Components'!A:A,'United MAMP All Components'!O:O)</f>
        <v>0.00</v>
      </c>
      <c r="AF56" s="10">
        <f t="shared" si="9"/>
        <v>0</v>
      </c>
      <c r="AG56" s="10">
        <f>_xlfn.XLOOKUP(A56,'Icyte Report'!A:A,'Icyte Report'!AG:AG)</f>
        <v>0</v>
      </c>
      <c r="AH56" s="10" t="str">
        <f>_xlfn.XLOOKUP(A56,'United MAMP All Components'!A:A,'United MAMP All Components'!Q:Q)</f>
        <v>0.00</v>
      </c>
      <c r="AI56" s="10">
        <f t="shared" si="10"/>
        <v>0</v>
      </c>
      <c r="AJ56" s="10">
        <f>_xlfn.XLOOKUP(A56,'Icyte Report'!A:A,'Icyte Report'!AH:AH)</f>
        <v>0</v>
      </c>
      <c r="AK56" s="10" t="str">
        <f>_xlfn.XLOOKUP(A56,'United MAMP All Components'!A:A,'United MAMP All Components'!R:R)</f>
        <v>0.00</v>
      </c>
      <c r="AL56" s="10">
        <f t="shared" si="11"/>
        <v>0</v>
      </c>
      <c r="AM56" s="10">
        <f>_xlfn.XLOOKUP(A56,'Icyte Report'!A:A,'Icyte Report'!AS:AS)</f>
        <v>0</v>
      </c>
      <c r="AN56" s="10" t="str">
        <f>_xlfn.XLOOKUP(A56,'United MAMP All Components'!A:A,'United MAMP All Components'!T:T)</f>
        <v>65,771.40</v>
      </c>
      <c r="AO56" s="10">
        <f t="shared" si="12"/>
        <v>-65771.399999999994</v>
      </c>
      <c r="AP56" s="10">
        <f>_xlfn.XLOOKUP(A56,'Icyte Report'!A:A,'Icyte Report'!AT:AT)</f>
        <v>0</v>
      </c>
      <c r="AQ56" s="10" t="str">
        <f>_xlfn.XLOOKUP(A56,'United MAMP All Components'!A:A,'United MAMP All Components'!U:U)</f>
        <v>20.00</v>
      </c>
      <c r="AR56" s="10">
        <f t="shared" si="13"/>
        <v>-20</v>
      </c>
      <c r="AS56" s="10">
        <f>_xlfn.XLOOKUP(A56,'Icyte Report'!A:A,'Icyte Report'!AU:AU)</f>
        <v>0</v>
      </c>
      <c r="AT56" s="10" t="str">
        <f>_xlfn.XLOOKUP(A56,'United MAMP All Components'!A:A,'United MAMP All Components'!AO:AO)</f>
        <v>0.00</v>
      </c>
      <c r="AU56" s="10">
        <f t="shared" si="14"/>
        <v>0</v>
      </c>
      <c r="AV56" s="10">
        <f>_xlfn.XLOOKUP(A56,'Icyte Report'!A:A,'Icyte Report'!AV:AV)</f>
        <v>0</v>
      </c>
      <c r="AW56" s="10" t="str">
        <f>_xlfn.XLOOKUP(A56,'United MAMP All Components'!A:A,'United MAMP All Components'!AP:AP)</f>
        <v>0.00</v>
      </c>
      <c r="AX56" s="10">
        <f t="shared" si="15"/>
        <v>0</v>
      </c>
      <c r="AY56" s="10">
        <f>_xlfn.XLOOKUP(A56,'Icyte Report'!A:A,'Icyte Report'!BH:BH)</f>
        <v>0</v>
      </c>
      <c r="AZ56" s="10" t="e">
        <f>_xlfn.XLOOKUP(A56,'United Smoothed Indirect Inelig'!A:A,'United Smoothed Indirect Inelig'!D:D)</f>
        <v>#N/A</v>
      </c>
      <c r="BA56" s="10" t="e">
        <f t="shared" si="16"/>
        <v>#N/A</v>
      </c>
      <c r="BB56" s="10">
        <f>_xlfn.XLOOKUP(A56,'Icyte Report'!A:A,'Icyte Report'!BK:BK)</f>
        <v>0</v>
      </c>
      <c r="BC56" s="10" t="e">
        <f t="shared" si="17"/>
        <v>#N/A</v>
      </c>
      <c r="BD56" s="10">
        <f>_xlfn.XLOOKUP(A56,'Icyte Report'!A:A,'Icyte Report'!BN:BN)</f>
        <v>0</v>
      </c>
      <c r="BE56" s="10" t="e">
        <f>_xlfn.XLOOKUP(A56,'United Smoothed Indirect Inelig'!A:A,'United Smoothed Indirect Inelig'!C:C)</f>
        <v>#N/A</v>
      </c>
      <c r="BF56" s="10" t="e">
        <f t="shared" si="18"/>
        <v>#N/A</v>
      </c>
      <c r="BG56" s="10">
        <f>_xlfn.XLOOKUP(A56,'Icyte Report'!A:A,'Icyte Report'!BR:BR)</f>
        <v>0</v>
      </c>
      <c r="BH56" s="10" t="e">
        <f>_xlfn.XLOOKUP(A56,'United Smoothed Indirect Inelig'!A:A,'United Smoothed Indirect Inelig'!B:B)</f>
        <v>#N/A</v>
      </c>
      <c r="BI56" s="10" t="e">
        <f t="shared" si="19"/>
        <v>#N/A</v>
      </c>
      <c r="BJ56" s="10">
        <f>_xlfn.XLOOKUP(A56,'Icyte Report'!A:A,'Icyte Report'!BV:BV)</f>
        <v>0</v>
      </c>
      <c r="BK56" s="10" t="e">
        <f>_xlfn.XLOOKUP(A56,'United Smoothed Indirect Inelig'!A:A,'United Smoothed Indirect Inelig'!P:P)</f>
        <v>#N/A</v>
      </c>
      <c r="BL56" s="10" t="e">
        <f t="shared" si="20"/>
        <v>#N/A</v>
      </c>
      <c r="BM56" s="13">
        <f>_xlfn.XLOOKUP(A56,'Icyte Report'!A:A,'Icyte Report'!BW:BW)</f>
        <v>0</v>
      </c>
      <c r="BN56" s="13" t="e">
        <f>_xlfn.XLOOKUP(A56,'United Smoothed Indirect Inelig'!A:A,'United Smoothed Indirect Inelig'!G:G)+_xlfn.XLOOKUP(A56,'United Smoothed Indirect Inelig'!A:A,'United Smoothed Indirect Inelig'!H:H) + _xlfn.XLOOKUP(A56,'United Smoothed Indirect Inelig'!A:A,'United Smoothed Indirect Inelig'!I:I)+_xlfn.XLOOKUP(A56,'United Smoothed Indirect Inelig'!A:A,'United Smoothed Indirect Inelig'!J:J)</f>
        <v>#N/A</v>
      </c>
      <c r="BO56" s="18" t="e">
        <f t="shared" si="21"/>
        <v>#N/A</v>
      </c>
      <c r="BP56" s="10">
        <f>_xlfn.XLOOKUP(A56,'Icyte Report'!A:A,'Icyte Report'!BY:BY)</f>
        <v>0</v>
      </c>
      <c r="BQ56" s="10" t="e">
        <f>_xlfn.XLOOKUP(A56,'United Smoothed Indirect Inelig'!A:A,'United Smoothed Indirect Inelig'!L:L)+_xlfn.XLOOKUP(A56,'United Smoothed Indirect Inelig'!A:A,'United Smoothed Indirect Inelig'!M:M) + _xlfn.XLOOKUP(A56,'United Smoothed Indirect Inelig'!A:A,'United Smoothed Indirect Inelig'!N:N)+_xlfn.XLOOKUP(A56,'United Smoothed Indirect Inelig'!A:A,'United Smoothed Indirect Inelig'!O:O)</f>
        <v>#N/A</v>
      </c>
      <c r="BR56" s="10" t="e">
        <f t="shared" si="22"/>
        <v>#N/A</v>
      </c>
      <c r="BS56" s="10">
        <f>_xlfn.XLOOKUP(A56,'Icyte Report'!A:A,'Icyte Report'!BZ:BZ)</f>
        <v>0</v>
      </c>
      <c r="BT56" s="10" t="str">
        <f>_xlfn.XLOOKUP(A56,'United MAMP All Components'!A:A,'United MAMP All Components'!AL:AL)</f>
        <v>65,771.40</v>
      </c>
      <c r="BU56" s="10">
        <f t="shared" si="23"/>
        <v>-65771.399999999994</v>
      </c>
      <c r="BV56" s="26">
        <f>_xlfn.XLOOKUP(A56,'Icyte Report'!A:A,'Icyte Report'!CA:CA)</f>
        <v>0</v>
      </c>
      <c r="BW56" s="22" t="str">
        <f>_xlfn.XLOOKUP(A56,'United MAMP All Components'!A:A,'United MAMP All Components'!AM:AM)</f>
        <v>20.00</v>
      </c>
      <c r="BX56" s="10">
        <f t="shared" si="24"/>
        <v>-20</v>
      </c>
      <c r="BY56" s="10">
        <f>_xlfn.XLOOKUP(A56,'Icyte Report'!A:A,'Icyte Report'!CD:CD)</f>
        <v>0</v>
      </c>
      <c r="BZ56" s="10" t="str">
        <f>_xlfn.XLOOKUP(A56,'United_Smoothed Price Concessio'!A:A,'United_Smoothed Price Concessio'!D:D)</f>
        <v>$0.00</v>
      </c>
      <c r="CA56" s="10">
        <f t="shared" si="25"/>
        <v>0</v>
      </c>
      <c r="CB56" s="10">
        <f>_xlfn.XLOOKUP(A56,'Icyte Report'!A:A,'Icyte Report'!CF:CF)</f>
        <v>60</v>
      </c>
      <c r="CC56" s="10" t="e">
        <f>_xlfn.XLOOKUP(A56,'United Smoothed Indirect Inelig'!A:A,'United Smoothed Indirect Inelig'!F:F)</f>
        <v>#N/A</v>
      </c>
      <c r="CD56" s="10" t="e">
        <f t="shared" si="26"/>
        <v>#N/A</v>
      </c>
      <c r="CE56" s="10">
        <f>_xlfn.XLOOKUP(A56,'Icyte Report'!A:A,'Icyte Report'!CL:CL)</f>
        <v>197314.2</v>
      </c>
      <c r="CF56" s="10" t="str">
        <f>_xlfn.XLOOKUP(A56,'United_Smoothed Price Concessio'!A:A,'United_Smoothed Price Concessio'!H:H)</f>
        <v>$263,085.60</v>
      </c>
      <c r="CG56" s="10">
        <f t="shared" si="27"/>
        <v>-65771.399999999965</v>
      </c>
      <c r="CH56" s="10">
        <f>_xlfn.XLOOKUP(A56,'Icyte Report'!A:A,'Icyte Report'!CY:CY)</f>
        <v>0</v>
      </c>
      <c r="CI56" s="10" t="str">
        <f>_xlfn.XLOOKUP(A56,'United_Smoothed Price Concessio'!A:A,'United_Smoothed Price Concessio'!C:C)</f>
        <v>$0.00</v>
      </c>
      <c r="CJ56" s="10">
        <f t="shared" si="28"/>
        <v>0</v>
      </c>
      <c r="CK56" s="10">
        <f>_xlfn.XLOOKUP(A56,'Icyte Report'!A:A,'Icyte Report'!CZ:CZ)</f>
        <v>0</v>
      </c>
      <c r="CL56" s="10" t="str">
        <f>_xlfn.XLOOKUP(A56,'United_Smoothed Price Concessio'!A:A,'United_Smoothed Price Concessio'!G:G)</f>
        <v>$0.00</v>
      </c>
      <c r="CM56" s="10">
        <f t="shared" si="29"/>
        <v>0</v>
      </c>
      <c r="CN56" s="13">
        <f>_xlfn.XLOOKUP(A56,'Icyte Report'!A:A,'Icyte Report'!DA:DA)</f>
        <v>0</v>
      </c>
      <c r="CO56" s="13" t="str">
        <f>_xlfn.XLOOKUP(A56,'United_Smoothed Price Concessio'!A:A,'United_Smoothed Price Concessio'!I:I)</f>
        <v>0.000000%</v>
      </c>
      <c r="CP56" s="10">
        <f t="shared" si="30"/>
        <v>0</v>
      </c>
      <c r="CQ56" s="10">
        <f>_xlfn.XLOOKUP(A56,'Icyte Report'!A:A,'Icyte Report'!DB:DB)</f>
        <v>0</v>
      </c>
      <c r="CR56" s="10" t="str">
        <f>_xlfn.XLOOKUP(A56,'United MAMP All Components'!A:A,'United MAMP All Components'!AX:AX)</f>
        <v>0.00</v>
      </c>
      <c r="CS56" s="10">
        <f t="shared" si="31"/>
        <v>0</v>
      </c>
      <c r="CT56" s="10">
        <f>_xlfn.XLOOKUP(A56,'Icyte Report'!A:A,'Icyte Report'!DC:DC)</f>
        <v>0</v>
      </c>
      <c r="CU56" s="10" t="str">
        <f>_xlfn.XLOOKUP(A56,'United MAMP All Components'!A:A,'United MAMP All Components'!BA:BA)</f>
        <v>1,315.43</v>
      </c>
      <c r="CV56" s="10">
        <f t="shared" si="32"/>
        <v>-1315.43</v>
      </c>
      <c r="CW56" s="10">
        <f>_xlfn.XLOOKUP(A56,'Icyte Report'!A:A,'Icyte Report'!DD:DD)</f>
        <v>0</v>
      </c>
      <c r="CX56" s="10" t="str">
        <f>_xlfn.XLOOKUP(A56,'United MAMP All Components'!A:A,'United MAMP All Components'!BD:BD)</f>
        <v>64,455.97</v>
      </c>
      <c r="CY56" s="10">
        <f t="shared" si="33"/>
        <v>-64455.97</v>
      </c>
      <c r="CZ56" s="10">
        <f>_xlfn.XLOOKUP(A56,'Icyte Report'!A:A,'Icyte Report'!DE:DE)</f>
        <v>0</v>
      </c>
      <c r="DA56" s="10" t="str">
        <f>_xlfn.XLOOKUP(A56,'United MAMP All Components'!A:A,'United MAMP All Components'!BE:BE)</f>
        <v>20.00</v>
      </c>
      <c r="DB56" s="10">
        <f t="shared" si="34"/>
        <v>-20</v>
      </c>
      <c r="DC56" s="10">
        <f>_xlfn.XLOOKUP(A56,'Icyte Report'!A:A,'Icyte Report'!DI:DI)</f>
        <v>3222.7986000000001</v>
      </c>
      <c r="DD56" s="10" t="str">
        <f>_xlfn.XLOOKUP(A56,'United MAMP All Components'!A:A,'United MAMP All Components'!BG:BG)</f>
        <v>3,222.798600</v>
      </c>
      <c r="DE56" s="10">
        <f t="shared" si="35"/>
        <v>0</v>
      </c>
    </row>
    <row r="57" spans="1:109" x14ac:dyDescent="0.35">
      <c r="A57" s="10" t="s">
        <v>226</v>
      </c>
      <c r="B57" s="10" t="s">
        <v>463</v>
      </c>
      <c r="C57" s="10">
        <f>_xlfn.XLOOKUP(A57,'Icyte Report'!A:A,'Icyte Report'!W:W)</f>
        <v>0</v>
      </c>
      <c r="D57" s="10" t="str">
        <f>_xlfn.XLOOKUP(A57,'United MAMP All Components'!A:A,'United MAMP All Components'!B:B)</f>
        <v>65,771.40</v>
      </c>
      <c r="E57" s="10">
        <f t="shared" si="0"/>
        <v>-65771.399999999994</v>
      </c>
      <c r="F57" s="10">
        <f>_xlfn.XLOOKUP(A57,'Icyte Report'!A:A,'Icyte Report'!X:X)</f>
        <v>0</v>
      </c>
      <c r="G57" s="10" t="str">
        <f>_xlfn.XLOOKUP(A57,'United MAMP All Components'!A:A,'United MAMP All Components'!C:C)</f>
        <v>20.00</v>
      </c>
      <c r="H57" s="10">
        <f t="shared" si="1"/>
        <v>-20</v>
      </c>
      <c r="I57" s="10">
        <f>_xlfn.XLOOKUP(A57,'Icyte Report'!A:A,'Icyte Report'!Y:Y)</f>
        <v>0</v>
      </c>
      <c r="J57" s="10" t="str">
        <f>_xlfn.XLOOKUP(A57,'United MAMP All Components'!A:A,'United MAMP All Components'!E:E)</f>
        <v>0.00</v>
      </c>
      <c r="K57" s="10">
        <f t="shared" si="2"/>
        <v>0</v>
      </c>
      <c r="L57" s="10">
        <f>_xlfn.XLOOKUP(A57,'Icyte Report'!A:A,'Icyte Report'!Z:Z)</f>
        <v>0</v>
      </c>
      <c r="M57" s="10" t="str">
        <f>_xlfn.XLOOKUP(A57,'United MAMP All Components'!A:A,'United MAMP All Components'!F:F)</f>
        <v>0.00</v>
      </c>
      <c r="N57" s="10">
        <f t="shared" si="3"/>
        <v>0</v>
      </c>
      <c r="O57" s="10">
        <f>_xlfn.XLOOKUP(A57,'Icyte Report'!A:A,'Icyte Report'!AA:AA)</f>
        <v>0</v>
      </c>
      <c r="P57" s="10" t="str">
        <f>_xlfn.XLOOKUP(A57,'United MAMP All Components'!A:A,'United MAMP All Components'!H:H)</f>
        <v>0.00</v>
      </c>
      <c r="Q57" s="10">
        <f t="shared" si="4"/>
        <v>0</v>
      </c>
      <c r="R57" s="10">
        <f>_xlfn.XLOOKUP(A57,'Icyte Report'!A:A,'Icyte Report'!AB:AB)</f>
        <v>0</v>
      </c>
      <c r="S57" s="10" t="str">
        <f>_xlfn.XLOOKUP(A57,'United MAMP All Components'!A:A,'United MAMP All Components'!I:I)</f>
        <v>0.00</v>
      </c>
      <c r="T57" s="10">
        <f t="shared" si="5"/>
        <v>0</v>
      </c>
      <c r="U57" s="10">
        <f>_xlfn.XLOOKUP(A57,'Icyte Report'!A:A,'Icyte Report'!AC:AC)</f>
        <v>0</v>
      </c>
      <c r="V57" s="10" t="str">
        <f>_xlfn.XLOOKUP(A57,'United MAMP All Components'!A:A,'United MAMP All Components'!K:K)</f>
        <v>0.00</v>
      </c>
      <c r="W57" s="10">
        <f t="shared" si="6"/>
        <v>0</v>
      </c>
      <c r="X57" s="10">
        <f>_xlfn.XLOOKUP(A57,'Icyte Report'!A:A,'Icyte Report'!AD:AD)</f>
        <v>0</v>
      </c>
      <c r="Y57" s="10" t="str">
        <f>_xlfn.XLOOKUP(A57,'United MAMP All Components'!A:A,'United MAMP All Components'!L:L)</f>
        <v>0.00</v>
      </c>
      <c r="Z57" s="10">
        <f t="shared" si="7"/>
        <v>0</v>
      </c>
      <c r="AA57" s="10">
        <f>_xlfn.XLOOKUP(A57,'Icyte Report'!A:A,'Icyte Report'!AE:AE)</f>
        <v>0</v>
      </c>
      <c r="AB57" s="10" t="str">
        <f>_xlfn.XLOOKUP(A57,'United MAMP All Components'!A:A,'United MAMP All Components'!N:N)</f>
        <v>0.00</v>
      </c>
      <c r="AC57" s="10">
        <f t="shared" si="8"/>
        <v>0</v>
      </c>
      <c r="AD57" s="10">
        <f>_xlfn.XLOOKUP(A57,'Icyte Report'!A:A,'Icyte Report'!AF:AF)</f>
        <v>0</v>
      </c>
      <c r="AE57" s="10" t="str">
        <f>_xlfn.XLOOKUP(A57,'United MAMP All Components'!A:A,'United MAMP All Components'!O:O)</f>
        <v>0.00</v>
      </c>
      <c r="AF57" s="10">
        <f t="shared" si="9"/>
        <v>0</v>
      </c>
      <c r="AG57" s="10">
        <f>_xlfn.XLOOKUP(A57,'Icyte Report'!A:A,'Icyte Report'!AG:AG)</f>
        <v>0</v>
      </c>
      <c r="AH57" s="10" t="str">
        <f>_xlfn.XLOOKUP(A57,'United MAMP All Components'!A:A,'United MAMP All Components'!Q:Q)</f>
        <v>0.00</v>
      </c>
      <c r="AI57" s="10">
        <f t="shared" si="10"/>
        <v>0</v>
      </c>
      <c r="AJ57" s="10">
        <f>_xlfn.XLOOKUP(A57,'Icyte Report'!A:A,'Icyte Report'!AH:AH)</f>
        <v>0</v>
      </c>
      <c r="AK57" s="10" t="str">
        <f>_xlfn.XLOOKUP(A57,'United MAMP All Components'!A:A,'United MAMP All Components'!R:R)</f>
        <v>0.00</v>
      </c>
      <c r="AL57" s="10">
        <f t="shared" si="11"/>
        <v>0</v>
      </c>
      <c r="AM57" s="10">
        <f>_xlfn.XLOOKUP(A57,'Icyte Report'!A:A,'Icyte Report'!AS:AS)</f>
        <v>0</v>
      </c>
      <c r="AN57" s="10" t="str">
        <f>_xlfn.XLOOKUP(A57,'United MAMP All Components'!A:A,'United MAMP All Components'!T:T)</f>
        <v>65,771.40</v>
      </c>
      <c r="AO57" s="10">
        <f t="shared" si="12"/>
        <v>-65771.399999999994</v>
      </c>
      <c r="AP57" s="10">
        <f>_xlfn.XLOOKUP(A57,'Icyte Report'!A:A,'Icyte Report'!AT:AT)</f>
        <v>0</v>
      </c>
      <c r="AQ57" s="10" t="str">
        <f>_xlfn.XLOOKUP(A57,'United MAMP All Components'!A:A,'United MAMP All Components'!U:U)</f>
        <v>20.00</v>
      </c>
      <c r="AR57" s="10">
        <f t="shared" si="13"/>
        <v>-20</v>
      </c>
      <c r="AS57" s="10">
        <f>_xlfn.XLOOKUP(A57,'Icyte Report'!A:A,'Icyte Report'!AU:AU)</f>
        <v>0</v>
      </c>
      <c r="AT57" s="10" t="str">
        <f>_xlfn.XLOOKUP(A57,'United MAMP All Components'!A:A,'United MAMP All Components'!AO:AO)</f>
        <v>0.00</v>
      </c>
      <c r="AU57" s="10">
        <f t="shared" si="14"/>
        <v>0</v>
      </c>
      <c r="AV57" s="10">
        <f>_xlfn.XLOOKUP(A57,'Icyte Report'!A:A,'Icyte Report'!AV:AV)</f>
        <v>0</v>
      </c>
      <c r="AW57" s="10" t="str">
        <f>_xlfn.XLOOKUP(A57,'United MAMP All Components'!A:A,'United MAMP All Components'!AP:AP)</f>
        <v>0.00</v>
      </c>
      <c r="AX57" s="10">
        <f t="shared" si="15"/>
        <v>0</v>
      </c>
      <c r="AY57" s="10">
        <f>_xlfn.XLOOKUP(A57,'Icyte Report'!A:A,'Icyte Report'!BH:BH)</f>
        <v>0</v>
      </c>
      <c r="AZ57" s="10" t="e">
        <f>_xlfn.XLOOKUP(A57,'United Smoothed Indirect Inelig'!A:A,'United Smoothed Indirect Inelig'!D:D)</f>
        <v>#N/A</v>
      </c>
      <c r="BA57" s="10" t="e">
        <f t="shared" si="16"/>
        <v>#N/A</v>
      </c>
      <c r="BB57" s="10">
        <f>_xlfn.XLOOKUP(A57,'Icyte Report'!A:A,'Icyte Report'!BK:BK)</f>
        <v>0</v>
      </c>
      <c r="BC57" s="10" t="e">
        <f t="shared" si="17"/>
        <v>#N/A</v>
      </c>
      <c r="BD57" s="10">
        <f>_xlfn.XLOOKUP(A57,'Icyte Report'!A:A,'Icyte Report'!BN:BN)</f>
        <v>0</v>
      </c>
      <c r="BE57" s="10" t="e">
        <f>_xlfn.XLOOKUP(A57,'United Smoothed Indirect Inelig'!A:A,'United Smoothed Indirect Inelig'!C:C)</f>
        <v>#N/A</v>
      </c>
      <c r="BF57" s="10" t="e">
        <f t="shared" si="18"/>
        <v>#N/A</v>
      </c>
      <c r="BG57" s="10">
        <f>_xlfn.XLOOKUP(A57,'Icyte Report'!A:A,'Icyte Report'!BR:BR)</f>
        <v>0</v>
      </c>
      <c r="BH57" s="10" t="e">
        <f>_xlfn.XLOOKUP(A57,'United Smoothed Indirect Inelig'!A:A,'United Smoothed Indirect Inelig'!B:B)</f>
        <v>#N/A</v>
      </c>
      <c r="BI57" s="10" t="e">
        <f t="shared" si="19"/>
        <v>#N/A</v>
      </c>
      <c r="BJ57" s="10">
        <f>_xlfn.XLOOKUP(A57,'Icyte Report'!A:A,'Icyte Report'!BV:BV)</f>
        <v>0</v>
      </c>
      <c r="BK57" s="10" t="e">
        <f>_xlfn.XLOOKUP(A57,'United Smoothed Indirect Inelig'!A:A,'United Smoothed Indirect Inelig'!P:P)</f>
        <v>#N/A</v>
      </c>
      <c r="BL57" s="10" t="e">
        <f t="shared" si="20"/>
        <v>#N/A</v>
      </c>
      <c r="BM57" s="13">
        <f>_xlfn.XLOOKUP(A57,'Icyte Report'!A:A,'Icyte Report'!BW:BW)</f>
        <v>0</v>
      </c>
      <c r="BN57" s="13" t="e">
        <f>_xlfn.XLOOKUP(A57,'United Smoothed Indirect Inelig'!A:A,'United Smoothed Indirect Inelig'!G:G)+_xlfn.XLOOKUP(A57,'United Smoothed Indirect Inelig'!A:A,'United Smoothed Indirect Inelig'!H:H) + _xlfn.XLOOKUP(A57,'United Smoothed Indirect Inelig'!A:A,'United Smoothed Indirect Inelig'!I:I)+_xlfn.XLOOKUP(A57,'United Smoothed Indirect Inelig'!A:A,'United Smoothed Indirect Inelig'!J:J)</f>
        <v>#N/A</v>
      </c>
      <c r="BO57" s="18" t="e">
        <f t="shared" si="21"/>
        <v>#N/A</v>
      </c>
      <c r="BP57" s="10">
        <f>_xlfn.XLOOKUP(A57,'Icyte Report'!A:A,'Icyte Report'!BY:BY)</f>
        <v>0</v>
      </c>
      <c r="BQ57" s="10" t="e">
        <f>_xlfn.XLOOKUP(A57,'United Smoothed Indirect Inelig'!A:A,'United Smoothed Indirect Inelig'!L:L)+_xlfn.XLOOKUP(A57,'United Smoothed Indirect Inelig'!A:A,'United Smoothed Indirect Inelig'!M:M) + _xlfn.XLOOKUP(A57,'United Smoothed Indirect Inelig'!A:A,'United Smoothed Indirect Inelig'!N:N)+_xlfn.XLOOKUP(A57,'United Smoothed Indirect Inelig'!A:A,'United Smoothed Indirect Inelig'!O:O)</f>
        <v>#N/A</v>
      </c>
      <c r="BR57" s="10" t="e">
        <f t="shared" si="22"/>
        <v>#N/A</v>
      </c>
      <c r="BS57" s="10">
        <f>_xlfn.XLOOKUP(A57,'Icyte Report'!A:A,'Icyte Report'!BZ:BZ)</f>
        <v>0</v>
      </c>
      <c r="BT57" s="10" t="str">
        <f>_xlfn.XLOOKUP(A57,'United MAMP All Components'!A:A,'United MAMP All Components'!AL:AL)</f>
        <v>65,771.40</v>
      </c>
      <c r="BU57" s="10">
        <f t="shared" si="23"/>
        <v>-65771.399999999994</v>
      </c>
      <c r="BV57" s="26">
        <f>_xlfn.XLOOKUP(A57,'Icyte Report'!A:A,'Icyte Report'!CA:CA)</f>
        <v>0</v>
      </c>
      <c r="BW57" s="22" t="str">
        <f>_xlfn.XLOOKUP(A57,'United MAMP All Components'!A:A,'United MAMP All Components'!AM:AM)</f>
        <v>20.00</v>
      </c>
      <c r="BX57" s="10">
        <f t="shared" si="24"/>
        <v>-20</v>
      </c>
      <c r="BY57" s="10">
        <f>_xlfn.XLOOKUP(A57,'Icyte Report'!A:A,'Icyte Report'!CD:CD)</f>
        <v>0</v>
      </c>
      <c r="BZ57" s="10" t="str">
        <f>_xlfn.XLOOKUP(A57,'United_Smoothed Price Concessio'!A:A,'United_Smoothed Price Concessio'!D:D)</f>
        <v>$0.00</v>
      </c>
      <c r="CA57" s="10">
        <f t="shared" si="25"/>
        <v>0</v>
      </c>
      <c r="CB57" s="10">
        <f>_xlfn.XLOOKUP(A57,'Icyte Report'!A:A,'Icyte Report'!CF:CF)</f>
        <v>60</v>
      </c>
      <c r="CC57" s="10" t="e">
        <f>_xlfn.XLOOKUP(A57,'United Smoothed Indirect Inelig'!A:A,'United Smoothed Indirect Inelig'!F:F)</f>
        <v>#N/A</v>
      </c>
      <c r="CD57" s="10" t="e">
        <f t="shared" si="26"/>
        <v>#N/A</v>
      </c>
      <c r="CE57" s="10">
        <f>_xlfn.XLOOKUP(A57,'Icyte Report'!A:A,'Icyte Report'!CL:CL)</f>
        <v>197314.2</v>
      </c>
      <c r="CF57" s="10" t="str">
        <f>_xlfn.XLOOKUP(A57,'United_Smoothed Price Concessio'!A:A,'United_Smoothed Price Concessio'!H:H)</f>
        <v>$263,085.60</v>
      </c>
      <c r="CG57" s="10">
        <f t="shared" si="27"/>
        <v>-65771.399999999965</v>
      </c>
      <c r="CH57" s="10">
        <f>_xlfn.XLOOKUP(A57,'Icyte Report'!A:A,'Icyte Report'!CY:CY)</f>
        <v>0</v>
      </c>
      <c r="CI57" s="10" t="str">
        <f>_xlfn.XLOOKUP(A57,'United_Smoothed Price Concessio'!A:A,'United_Smoothed Price Concessio'!C:C)</f>
        <v>$0.00</v>
      </c>
      <c r="CJ57" s="10">
        <f t="shared" si="28"/>
        <v>0</v>
      </c>
      <c r="CK57" s="10">
        <f>_xlfn.XLOOKUP(A57,'Icyte Report'!A:A,'Icyte Report'!CZ:CZ)</f>
        <v>0</v>
      </c>
      <c r="CL57" s="10" t="str">
        <f>_xlfn.XLOOKUP(A57,'United_Smoothed Price Concessio'!A:A,'United_Smoothed Price Concessio'!G:G)</f>
        <v>$0.00</v>
      </c>
      <c r="CM57" s="10">
        <f t="shared" si="29"/>
        <v>0</v>
      </c>
      <c r="CN57" s="13">
        <f>_xlfn.XLOOKUP(A57,'Icyte Report'!A:A,'Icyte Report'!DA:DA)</f>
        <v>0</v>
      </c>
      <c r="CO57" s="13" t="str">
        <f>_xlfn.XLOOKUP(A57,'United_Smoothed Price Concessio'!A:A,'United_Smoothed Price Concessio'!I:I)</f>
        <v>0.000000%</v>
      </c>
      <c r="CP57" s="10">
        <f t="shared" si="30"/>
        <v>0</v>
      </c>
      <c r="CQ57" s="10">
        <f>_xlfn.XLOOKUP(A57,'Icyte Report'!A:A,'Icyte Report'!DB:DB)</f>
        <v>0</v>
      </c>
      <c r="CR57" s="10" t="str">
        <f>_xlfn.XLOOKUP(A57,'United MAMP All Components'!A:A,'United MAMP All Components'!AX:AX)</f>
        <v>0.00</v>
      </c>
      <c r="CS57" s="10">
        <f t="shared" si="31"/>
        <v>0</v>
      </c>
      <c r="CT57" s="10">
        <f>_xlfn.XLOOKUP(A57,'Icyte Report'!A:A,'Icyte Report'!DC:DC)</f>
        <v>0</v>
      </c>
      <c r="CU57" s="10" t="str">
        <f>_xlfn.XLOOKUP(A57,'United MAMP All Components'!A:A,'United MAMP All Components'!BA:BA)</f>
        <v>1,315.43</v>
      </c>
      <c r="CV57" s="10">
        <f t="shared" si="32"/>
        <v>-1315.43</v>
      </c>
      <c r="CW57" s="10">
        <f>_xlfn.XLOOKUP(A57,'Icyte Report'!A:A,'Icyte Report'!DD:DD)</f>
        <v>0</v>
      </c>
      <c r="CX57" s="10" t="str">
        <f>_xlfn.XLOOKUP(A57,'United MAMP All Components'!A:A,'United MAMP All Components'!BD:BD)</f>
        <v>64,455.97</v>
      </c>
      <c r="CY57" s="10">
        <f t="shared" si="33"/>
        <v>-64455.97</v>
      </c>
      <c r="CZ57" s="10">
        <f>_xlfn.XLOOKUP(A57,'Icyte Report'!A:A,'Icyte Report'!DE:DE)</f>
        <v>0</v>
      </c>
      <c r="DA57" s="10" t="str">
        <f>_xlfn.XLOOKUP(A57,'United MAMP All Components'!A:A,'United MAMP All Components'!BE:BE)</f>
        <v>20.00</v>
      </c>
      <c r="DB57" s="10">
        <f t="shared" si="34"/>
        <v>-20</v>
      </c>
      <c r="DC57" s="10">
        <f>_xlfn.XLOOKUP(A57,'Icyte Report'!A:A,'Icyte Report'!DI:DI)</f>
        <v>3222.7986000000001</v>
      </c>
      <c r="DD57" s="10" t="str">
        <f>_xlfn.XLOOKUP(A57,'United MAMP All Components'!A:A,'United MAMP All Components'!BG:BG)</f>
        <v>3,222.798600</v>
      </c>
      <c r="DE57" s="10">
        <f t="shared" si="35"/>
        <v>0</v>
      </c>
    </row>
    <row r="58" spans="1:109" x14ac:dyDescent="0.35">
      <c r="A58" s="10" t="s">
        <v>227</v>
      </c>
      <c r="B58" s="10" t="s">
        <v>464</v>
      </c>
      <c r="C58" s="10">
        <f>_xlfn.XLOOKUP(A58,'Icyte Report'!A:A,'Icyte Report'!W:W)</f>
        <v>0</v>
      </c>
      <c r="D58" s="10" t="str">
        <f>_xlfn.XLOOKUP(A58,'United MAMP All Components'!A:A,'United MAMP All Components'!B:B)</f>
        <v>65,771.40</v>
      </c>
      <c r="E58" s="10">
        <f t="shared" si="0"/>
        <v>-65771.399999999994</v>
      </c>
      <c r="F58" s="10">
        <f>_xlfn.XLOOKUP(A58,'Icyte Report'!A:A,'Icyte Report'!X:X)</f>
        <v>0</v>
      </c>
      <c r="G58" s="10" t="str">
        <f>_xlfn.XLOOKUP(A58,'United MAMP All Components'!A:A,'United MAMP All Components'!C:C)</f>
        <v>20.00</v>
      </c>
      <c r="H58" s="10">
        <f t="shared" si="1"/>
        <v>-20</v>
      </c>
      <c r="I58" s="10">
        <f>_xlfn.XLOOKUP(A58,'Icyte Report'!A:A,'Icyte Report'!Y:Y)</f>
        <v>0</v>
      </c>
      <c r="J58" s="10" t="str">
        <f>_xlfn.XLOOKUP(A58,'United MAMP All Components'!A:A,'United MAMP All Components'!E:E)</f>
        <v>0.00</v>
      </c>
      <c r="K58" s="10">
        <f t="shared" si="2"/>
        <v>0</v>
      </c>
      <c r="L58" s="10">
        <f>_xlfn.XLOOKUP(A58,'Icyte Report'!A:A,'Icyte Report'!Z:Z)</f>
        <v>0</v>
      </c>
      <c r="M58" s="10" t="str">
        <f>_xlfn.XLOOKUP(A58,'United MAMP All Components'!A:A,'United MAMP All Components'!F:F)</f>
        <v>0.00</v>
      </c>
      <c r="N58" s="10">
        <f t="shared" si="3"/>
        <v>0</v>
      </c>
      <c r="O58" s="10">
        <f>_xlfn.XLOOKUP(A58,'Icyte Report'!A:A,'Icyte Report'!AA:AA)</f>
        <v>0</v>
      </c>
      <c r="P58" s="10" t="str">
        <f>_xlfn.XLOOKUP(A58,'United MAMP All Components'!A:A,'United MAMP All Components'!H:H)</f>
        <v>0.00</v>
      </c>
      <c r="Q58" s="10">
        <f t="shared" si="4"/>
        <v>0</v>
      </c>
      <c r="R58" s="10">
        <f>_xlfn.XLOOKUP(A58,'Icyte Report'!A:A,'Icyte Report'!AB:AB)</f>
        <v>0</v>
      </c>
      <c r="S58" s="10" t="str">
        <f>_xlfn.XLOOKUP(A58,'United MAMP All Components'!A:A,'United MAMP All Components'!I:I)</f>
        <v>0.00</v>
      </c>
      <c r="T58" s="10">
        <f t="shared" si="5"/>
        <v>0</v>
      </c>
      <c r="U58" s="10">
        <f>_xlfn.XLOOKUP(A58,'Icyte Report'!A:A,'Icyte Report'!AC:AC)</f>
        <v>0</v>
      </c>
      <c r="V58" s="10" t="str">
        <f>_xlfn.XLOOKUP(A58,'United MAMP All Components'!A:A,'United MAMP All Components'!K:K)</f>
        <v>0.00</v>
      </c>
      <c r="W58" s="10">
        <f t="shared" si="6"/>
        <v>0</v>
      </c>
      <c r="X58" s="10">
        <f>_xlfn.XLOOKUP(A58,'Icyte Report'!A:A,'Icyte Report'!AD:AD)</f>
        <v>0</v>
      </c>
      <c r="Y58" s="10" t="str">
        <f>_xlfn.XLOOKUP(A58,'United MAMP All Components'!A:A,'United MAMP All Components'!L:L)</f>
        <v>0.00</v>
      </c>
      <c r="Z58" s="10">
        <f t="shared" si="7"/>
        <v>0</v>
      </c>
      <c r="AA58" s="10">
        <f>_xlfn.XLOOKUP(A58,'Icyte Report'!A:A,'Icyte Report'!AE:AE)</f>
        <v>0</v>
      </c>
      <c r="AB58" s="10" t="str">
        <f>_xlfn.XLOOKUP(A58,'United MAMP All Components'!A:A,'United MAMP All Components'!N:N)</f>
        <v>0.00</v>
      </c>
      <c r="AC58" s="10">
        <f t="shared" si="8"/>
        <v>0</v>
      </c>
      <c r="AD58" s="10">
        <f>_xlfn.XLOOKUP(A58,'Icyte Report'!A:A,'Icyte Report'!AF:AF)</f>
        <v>0</v>
      </c>
      <c r="AE58" s="10" t="str">
        <f>_xlfn.XLOOKUP(A58,'United MAMP All Components'!A:A,'United MAMP All Components'!O:O)</f>
        <v>0.00</v>
      </c>
      <c r="AF58" s="10">
        <f t="shared" si="9"/>
        <v>0</v>
      </c>
      <c r="AG58" s="10">
        <f>_xlfn.XLOOKUP(A58,'Icyte Report'!A:A,'Icyte Report'!AG:AG)</f>
        <v>0</v>
      </c>
      <c r="AH58" s="10" t="str">
        <f>_xlfn.XLOOKUP(A58,'United MAMP All Components'!A:A,'United MAMP All Components'!Q:Q)</f>
        <v>0.00</v>
      </c>
      <c r="AI58" s="10">
        <f t="shared" si="10"/>
        <v>0</v>
      </c>
      <c r="AJ58" s="10">
        <f>_xlfn.XLOOKUP(A58,'Icyte Report'!A:A,'Icyte Report'!AH:AH)</f>
        <v>0</v>
      </c>
      <c r="AK58" s="10" t="str">
        <f>_xlfn.XLOOKUP(A58,'United MAMP All Components'!A:A,'United MAMP All Components'!R:R)</f>
        <v>0.00</v>
      </c>
      <c r="AL58" s="10">
        <f t="shared" si="11"/>
        <v>0</v>
      </c>
      <c r="AM58" s="10">
        <f>_xlfn.XLOOKUP(A58,'Icyte Report'!A:A,'Icyte Report'!AS:AS)</f>
        <v>0</v>
      </c>
      <c r="AN58" s="10" t="str">
        <f>_xlfn.XLOOKUP(A58,'United MAMP All Components'!A:A,'United MAMP All Components'!T:T)</f>
        <v>65,771.40</v>
      </c>
      <c r="AO58" s="10">
        <f t="shared" si="12"/>
        <v>-65771.399999999994</v>
      </c>
      <c r="AP58" s="10">
        <f>_xlfn.XLOOKUP(A58,'Icyte Report'!A:A,'Icyte Report'!AT:AT)</f>
        <v>0</v>
      </c>
      <c r="AQ58" s="10" t="str">
        <f>_xlfn.XLOOKUP(A58,'United MAMP All Components'!A:A,'United MAMP All Components'!U:U)</f>
        <v>20.00</v>
      </c>
      <c r="AR58" s="10">
        <f t="shared" si="13"/>
        <v>-20</v>
      </c>
      <c r="AS58" s="10">
        <f>_xlfn.XLOOKUP(A58,'Icyte Report'!A:A,'Icyte Report'!AU:AU)</f>
        <v>0</v>
      </c>
      <c r="AT58" s="10" t="str">
        <f>_xlfn.XLOOKUP(A58,'United MAMP All Components'!A:A,'United MAMP All Components'!AO:AO)</f>
        <v>0.00</v>
      </c>
      <c r="AU58" s="10">
        <f t="shared" si="14"/>
        <v>0</v>
      </c>
      <c r="AV58" s="10">
        <f>_xlfn.XLOOKUP(A58,'Icyte Report'!A:A,'Icyte Report'!AV:AV)</f>
        <v>0</v>
      </c>
      <c r="AW58" s="10" t="str">
        <f>_xlfn.XLOOKUP(A58,'United MAMP All Components'!A:A,'United MAMP All Components'!AP:AP)</f>
        <v>0.00</v>
      </c>
      <c r="AX58" s="10">
        <f t="shared" si="15"/>
        <v>0</v>
      </c>
      <c r="AY58" s="10">
        <f>_xlfn.XLOOKUP(A58,'Icyte Report'!A:A,'Icyte Report'!BH:BH)</f>
        <v>0</v>
      </c>
      <c r="AZ58" s="10" t="e">
        <f>_xlfn.XLOOKUP(A58,'United Smoothed Indirect Inelig'!A:A,'United Smoothed Indirect Inelig'!D:D)</f>
        <v>#N/A</v>
      </c>
      <c r="BA58" s="10" t="e">
        <f t="shared" si="16"/>
        <v>#N/A</v>
      </c>
      <c r="BB58" s="10">
        <f>_xlfn.XLOOKUP(A58,'Icyte Report'!A:A,'Icyte Report'!BK:BK)</f>
        <v>0</v>
      </c>
      <c r="BC58" s="10" t="e">
        <f t="shared" si="17"/>
        <v>#N/A</v>
      </c>
      <c r="BD58" s="10">
        <f>_xlfn.XLOOKUP(A58,'Icyte Report'!A:A,'Icyte Report'!BN:BN)</f>
        <v>0</v>
      </c>
      <c r="BE58" s="10" t="e">
        <f>_xlfn.XLOOKUP(A58,'United Smoothed Indirect Inelig'!A:A,'United Smoothed Indirect Inelig'!C:C)</f>
        <v>#N/A</v>
      </c>
      <c r="BF58" s="10" t="e">
        <f t="shared" si="18"/>
        <v>#N/A</v>
      </c>
      <c r="BG58" s="10">
        <f>_xlfn.XLOOKUP(A58,'Icyte Report'!A:A,'Icyte Report'!BR:BR)</f>
        <v>0</v>
      </c>
      <c r="BH58" s="10" t="e">
        <f>_xlfn.XLOOKUP(A58,'United Smoothed Indirect Inelig'!A:A,'United Smoothed Indirect Inelig'!B:B)</f>
        <v>#N/A</v>
      </c>
      <c r="BI58" s="10" t="e">
        <f t="shared" si="19"/>
        <v>#N/A</v>
      </c>
      <c r="BJ58" s="10">
        <f>_xlfn.XLOOKUP(A58,'Icyte Report'!A:A,'Icyte Report'!BV:BV)</f>
        <v>0</v>
      </c>
      <c r="BK58" s="10" t="e">
        <f>_xlfn.XLOOKUP(A58,'United Smoothed Indirect Inelig'!A:A,'United Smoothed Indirect Inelig'!P:P)</f>
        <v>#N/A</v>
      </c>
      <c r="BL58" s="10" t="e">
        <f t="shared" si="20"/>
        <v>#N/A</v>
      </c>
      <c r="BM58" s="13">
        <f>_xlfn.XLOOKUP(A58,'Icyte Report'!A:A,'Icyte Report'!BW:BW)</f>
        <v>0</v>
      </c>
      <c r="BN58" s="13" t="e">
        <f>_xlfn.XLOOKUP(A58,'United Smoothed Indirect Inelig'!A:A,'United Smoothed Indirect Inelig'!G:G)+_xlfn.XLOOKUP(A58,'United Smoothed Indirect Inelig'!A:A,'United Smoothed Indirect Inelig'!H:H) + _xlfn.XLOOKUP(A58,'United Smoothed Indirect Inelig'!A:A,'United Smoothed Indirect Inelig'!I:I)+_xlfn.XLOOKUP(A58,'United Smoothed Indirect Inelig'!A:A,'United Smoothed Indirect Inelig'!J:J)</f>
        <v>#N/A</v>
      </c>
      <c r="BO58" s="18" t="e">
        <f t="shared" si="21"/>
        <v>#N/A</v>
      </c>
      <c r="BP58" s="10">
        <f>_xlfn.XLOOKUP(A58,'Icyte Report'!A:A,'Icyte Report'!BY:BY)</f>
        <v>0</v>
      </c>
      <c r="BQ58" s="10" t="e">
        <f>_xlfn.XLOOKUP(A58,'United Smoothed Indirect Inelig'!A:A,'United Smoothed Indirect Inelig'!L:L)+_xlfn.XLOOKUP(A58,'United Smoothed Indirect Inelig'!A:A,'United Smoothed Indirect Inelig'!M:M) + _xlfn.XLOOKUP(A58,'United Smoothed Indirect Inelig'!A:A,'United Smoothed Indirect Inelig'!N:N)+_xlfn.XLOOKUP(A58,'United Smoothed Indirect Inelig'!A:A,'United Smoothed Indirect Inelig'!O:O)</f>
        <v>#N/A</v>
      </c>
      <c r="BR58" s="10" t="e">
        <f t="shared" si="22"/>
        <v>#N/A</v>
      </c>
      <c r="BS58" s="10">
        <f>_xlfn.XLOOKUP(A58,'Icyte Report'!A:A,'Icyte Report'!BZ:BZ)</f>
        <v>0</v>
      </c>
      <c r="BT58" s="10" t="str">
        <f>_xlfn.XLOOKUP(A58,'United MAMP All Components'!A:A,'United MAMP All Components'!AL:AL)</f>
        <v>65,771.40</v>
      </c>
      <c r="BU58" s="10">
        <f t="shared" si="23"/>
        <v>-65771.399999999994</v>
      </c>
      <c r="BV58" s="26">
        <f>_xlfn.XLOOKUP(A58,'Icyte Report'!A:A,'Icyte Report'!CA:CA)</f>
        <v>0</v>
      </c>
      <c r="BW58" s="22" t="str">
        <f>_xlfn.XLOOKUP(A58,'United MAMP All Components'!A:A,'United MAMP All Components'!AM:AM)</f>
        <v>20.00</v>
      </c>
      <c r="BX58" s="10">
        <f t="shared" si="24"/>
        <v>-20</v>
      </c>
      <c r="BY58" s="10">
        <f>_xlfn.XLOOKUP(A58,'Icyte Report'!A:A,'Icyte Report'!CD:CD)</f>
        <v>0</v>
      </c>
      <c r="BZ58" s="10" t="str">
        <f>_xlfn.XLOOKUP(A58,'United_Smoothed Price Concessio'!A:A,'United_Smoothed Price Concessio'!D:D)</f>
        <v>$0.00</v>
      </c>
      <c r="CA58" s="10">
        <f t="shared" si="25"/>
        <v>0</v>
      </c>
      <c r="CB58" s="10">
        <f>_xlfn.XLOOKUP(A58,'Icyte Report'!A:A,'Icyte Report'!CF:CF)</f>
        <v>60</v>
      </c>
      <c r="CC58" s="10" t="e">
        <f>_xlfn.XLOOKUP(A58,'United Smoothed Indirect Inelig'!A:A,'United Smoothed Indirect Inelig'!F:F)</f>
        <v>#N/A</v>
      </c>
      <c r="CD58" s="10" t="e">
        <f t="shared" si="26"/>
        <v>#N/A</v>
      </c>
      <c r="CE58" s="10">
        <f>_xlfn.XLOOKUP(A58,'Icyte Report'!A:A,'Icyte Report'!CL:CL)</f>
        <v>197314.2</v>
      </c>
      <c r="CF58" s="10" t="str">
        <f>_xlfn.XLOOKUP(A58,'United_Smoothed Price Concessio'!A:A,'United_Smoothed Price Concessio'!H:H)</f>
        <v>$263,085.60</v>
      </c>
      <c r="CG58" s="10">
        <f t="shared" si="27"/>
        <v>-65771.399999999965</v>
      </c>
      <c r="CH58" s="10">
        <f>_xlfn.XLOOKUP(A58,'Icyte Report'!A:A,'Icyte Report'!CY:CY)</f>
        <v>0</v>
      </c>
      <c r="CI58" s="10" t="str">
        <f>_xlfn.XLOOKUP(A58,'United_Smoothed Price Concessio'!A:A,'United_Smoothed Price Concessio'!C:C)</f>
        <v>$0.00</v>
      </c>
      <c r="CJ58" s="10">
        <f t="shared" si="28"/>
        <v>0</v>
      </c>
      <c r="CK58" s="10">
        <f>_xlfn.XLOOKUP(A58,'Icyte Report'!A:A,'Icyte Report'!CZ:CZ)</f>
        <v>0</v>
      </c>
      <c r="CL58" s="10" t="str">
        <f>_xlfn.XLOOKUP(A58,'United_Smoothed Price Concessio'!A:A,'United_Smoothed Price Concessio'!G:G)</f>
        <v>$279.53</v>
      </c>
      <c r="CM58" s="10">
        <f t="shared" si="29"/>
        <v>-279.52999999999997</v>
      </c>
      <c r="CN58" s="13">
        <f>_xlfn.XLOOKUP(A58,'Icyte Report'!A:A,'Icyte Report'!DA:DA)</f>
        <v>0</v>
      </c>
      <c r="CO58" s="13" t="str">
        <f>_xlfn.XLOOKUP(A58,'United_Smoothed Price Concessio'!A:A,'United_Smoothed Price Concessio'!I:I)</f>
        <v>0.106250%</v>
      </c>
      <c r="CP58" s="10">
        <f t="shared" si="30"/>
        <v>-1.0625000000000001E-3</v>
      </c>
      <c r="CQ58" s="10">
        <f>_xlfn.XLOOKUP(A58,'Icyte Report'!A:A,'Icyte Report'!DB:DB)</f>
        <v>0</v>
      </c>
      <c r="CR58" s="10" t="str">
        <f>_xlfn.XLOOKUP(A58,'United MAMP All Components'!A:A,'United MAMP All Components'!AX:AX)</f>
        <v>69.88</v>
      </c>
      <c r="CS58" s="10">
        <f t="shared" si="31"/>
        <v>-69.88</v>
      </c>
      <c r="CT58" s="10">
        <f>_xlfn.XLOOKUP(A58,'Icyte Report'!A:A,'Icyte Report'!DC:DC)</f>
        <v>0</v>
      </c>
      <c r="CU58" s="10" t="str">
        <f>_xlfn.XLOOKUP(A58,'United MAMP All Components'!A:A,'United MAMP All Components'!BA:BA)</f>
        <v>1,315.43</v>
      </c>
      <c r="CV58" s="10">
        <f t="shared" si="32"/>
        <v>-1315.43</v>
      </c>
      <c r="CW58" s="10">
        <f>_xlfn.XLOOKUP(A58,'Icyte Report'!A:A,'Icyte Report'!DD:DD)</f>
        <v>0</v>
      </c>
      <c r="CX58" s="10" t="str">
        <f>_xlfn.XLOOKUP(A58,'United MAMP All Components'!A:A,'United MAMP All Components'!BD:BD)</f>
        <v>64,386.09</v>
      </c>
      <c r="CY58" s="10">
        <f t="shared" si="33"/>
        <v>-64386.09</v>
      </c>
      <c r="CZ58" s="10">
        <f>_xlfn.XLOOKUP(A58,'Icyte Report'!A:A,'Icyte Report'!DE:DE)</f>
        <v>0</v>
      </c>
      <c r="DA58" s="10" t="str">
        <f>_xlfn.XLOOKUP(A58,'United MAMP All Components'!A:A,'United MAMP All Components'!BE:BE)</f>
        <v>20.00</v>
      </c>
      <c r="DB58" s="10">
        <f t="shared" si="34"/>
        <v>-20</v>
      </c>
      <c r="DC58" s="10">
        <f>_xlfn.XLOOKUP(A58,'Icyte Report'!A:A,'Icyte Report'!DI:DI)</f>
        <v>3222.7986000000001</v>
      </c>
      <c r="DD58" s="10" t="str">
        <f>_xlfn.XLOOKUP(A58,'United MAMP All Components'!A:A,'United MAMP All Components'!BG:BG)</f>
        <v>3,219.304494</v>
      </c>
      <c r="DE58" s="10">
        <f t="shared" si="35"/>
        <v>3.4941060000001016</v>
      </c>
    </row>
    <row r="59" spans="1:109" x14ac:dyDescent="0.35">
      <c r="A59" s="10" t="s">
        <v>138</v>
      </c>
      <c r="B59" s="10" t="s">
        <v>465</v>
      </c>
      <c r="C59" s="10">
        <f>_xlfn.XLOOKUP(A59,'Icyte Report'!A:A,'Icyte Report'!W:W)</f>
        <v>320296.8</v>
      </c>
      <c r="D59" s="10" t="str">
        <f>_xlfn.XLOOKUP(A59,'United MAMP All Components'!A:A,'United MAMP All Components'!B:B)</f>
        <v>471,856.80</v>
      </c>
      <c r="E59" s="10">
        <f t="shared" si="0"/>
        <v>-151560</v>
      </c>
      <c r="F59" s="10">
        <f>_xlfn.XLOOKUP(A59,'Icyte Report'!A:A,'Icyte Report'!X:X)</f>
        <v>1471000</v>
      </c>
      <c r="G59" s="10" t="str">
        <f>_xlfn.XLOOKUP(A59,'United MAMP All Components'!A:A,'United MAMP All Components'!C:C)</f>
        <v>2,240,000.00</v>
      </c>
      <c r="H59" s="10">
        <f t="shared" si="1"/>
        <v>-769000</v>
      </c>
      <c r="I59" s="10">
        <f>_xlfn.XLOOKUP(A59,'Icyte Report'!A:A,'Icyte Report'!Y:Y)</f>
        <v>0</v>
      </c>
      <c r="J59" s="10" t="str">
        <f>_xlfn.XLOOKUP(A59,'United MAMP All Components'!A:A,'United MAMP All Components'!E:E)</f>
        <v>0.00</v>
      </c>
      <c r="K59" s="10">
        <f t="shared" si="2"/>
        <v>0</v>
      </c>
      <c r="L59" s="10">
        <f>_xlfn.XLOOKUP(A59,'Icyte Report'!A:A,'Icyte Report'!Z:Z)</f>
        <v>0</v>
      </c>
      <c r="M59" s="10" t="str">
        <f>_xlfn.XLOOKUP(A59,'United MAMP All Components'!A:A,'United MAMP All Components'!F:F)</f>
        <v>0.00</v>
      </c>
      <c r="N59" s="10">
        <f t="shared" si="3"/>
        <v>0</v>
      </c>
      <c r="O59" s="10">
        <f>_xlfn.XLOOKUP(A59,'Icyte Report'!A:A,'Icyte Report'!AA:AA)</f>
        <v>0</v>
      </c>
      <c r="P59" s="10" t="str">
        <f>_xlfn.XLOOKUP(A59,'United MAMP All Components'!A:A,'United MAMP All Components'!H:H)</f>
        <v>0.00</v>
      </c>
      <c r="Q59" s="10">
        <f t="shared" si="4"/>
        <v>0</v>
      </c>
      <c r="R59" s="10">
        <f>_xlfn.XLOOKUP(A59,'Icyte Report'!A:A,'Icyte Report'!AB:AB)</f>
        <v>0</v>
      </c>
      <c r="S59" s="10" t="str">
        <f>_xlfn.XLOOKUP(A59,'United MAMP All Components'!A:A,'United MAMP All Components'!I:I)</f>
        <v>0.00</v>
      </c>
      <c r="T59" s="10">
        <f t="shared" si="5"/>
        <v>0</v>
      </c>
      <c r="U59" s="10">
        <f>_xlfn.XLOOKUP(A59,'Icyte Report'!A:A,'Icyte Report'!AC:AC)</f>
        <v>0</v>
      </c>
      <c r="V59" s="10" t="str">
        <f>_xlfn.XLOOKUP(A59,'United MAMP All Components'!A:A,'United MAMP All Components'!K:K)</f>
        <v>0.00</v>
      </c>
      <c r="W59" s="10">
        <f t="shared" si="6"/>
        <v>0</v>
      </c>
      <c r="X59" s="10">
        <f>_xlfn.XLOOKUP(A59,'Icyte Report'!A:A,'Icyte Report'!AD:AD)</f>
        <v>0</v>
      </c>
      <c r="Y59" s="10" t="str">
        <f>_xlfn.XLOOKUP(A59,'United MAMP All Components'!A:A,'United MAMP All Components'!L:L)</f>
        <v>0.00</v>
      </c>
      <c r="Z59" s="10">
        <f t="shared" si="7"/>
        <v>0</v>
      </c>
      <c r="AA59" s="10">
        <f>_xlfn.XLOOKUP(A59,'Icyte Report'!A:A,'Icyte Report'!AE:AE)</f>
        <v>0</v>
      </c>
      <c r="AB59" s="10" t="str">
        <f>_xlfn.XLOOKUP(A59,'United MAMP All Components'!A:A,'United MAMP All Components'!N:N)</f>
        <v>0.00</v>
      </c>
      <c r="AC59" s="10">
        <f t="shared" si="8"/>
        <v>0</v>
      </c>
      <c r="AD59" s="10">
        <f>_xlfn.XLOOKUP(A59,'Icyte Report'!A:A,'Icyte Report'!AF:AF)</f>
        <v>203000</v>
      </c>
      <c r="AE59" s="10" t="str">
        <f>_xlfn.XLOOKUP(A59,'United MAMP All Components'!A:A,'United MAMP All Components'!O:O)</f>
        <v>372,000.00</v>
      </c>
      <c r="AF59" s="10">
        <f t="shared" si="9"/>
        <v>-169000</v>
      </c>
      <c r="AG59" s="10">
        <f>_xlfn.XLOOKUP(A59,'Icyte Report'!A:A,'Icyte Report'!AG:AG)</f>
        <v>0</v>
      </c>
      <c r="AH59" s="10" t="str">
        <f>_xlfn.XLOOKUP(A59,'United MAMP All Components'!A:A,'United MAMP All Components'!Q:Q)</f>
        <v>0.00</v>
      </c>
      <c r="AI59" s="10">
        <f t="shared" si="10"/>
        <v>0</v>
      </c>
      <c r="AJ59" s="10">
        <f>_xlfn.XLOOKUP(A59,'Icyte Report'!A:A,'Icyte Report'!AH:AH)</f>
        <v>0</v>
      </c>
      <c r="AK59" s="10" t="str">
        <f>_xlfn.XLOOKUP(A59,'United MAMP All Components'!A:A,'United MAMP All Components'!R:R)</f>
        <v>0.00</v>
      </c>
      <c r="AL59" s="10">
        <f t="shared" si="11"/>
        <v>0</v>
      </c>
      <c r="AM59" s="10">
        <f>_xlfn.XLOOKUP(A59,'Icyte Report'!A:A,'Icyte Report'!AS:AS)</f>
        <v>320296.8</v>
      </c>
      <c r="AN59" s="10" t="str">
        <f>_xlfn.XLOOKUP(A59,'United MAMP All Components'!A:A,'United MAMP All Components'!T:T)</f>
        <v>471,856.80</v>
      </c>
      <c r="AO59" s="10">
        <f t="shared" si="12"/>
        <v>-151560</v>
      </c>
      <c r="AP59" s="10">
        <f>_xlfn.XLOOKUP(A59,'Icyte Report'!A:A,'Icyte Report'!AT:AT)</f>
        <v>1268000</v>
      </c>
      <c r="AQ59" s="10" t="str">
        <f>_xlfn.XLOOKUP(A59,'United MAMP All Components'!A:A,'United MAMP All Components'!U:U)</f>
        <v>1,868,000.00</v>
      </c>
      <c r="AR59" s="10">
        <f t="shared" si="13"/>
        <v>-600000</v>
      </c>
      <c r="AS59" s="10">
        <f>_xlfn.XLOOKUP(A59,'Icyte Report'!A:A,'Icyte Report'!AU:AU)</f>
        <v>0</v>
      </c>
      <c r="AT59" s="10" t="str">
        <f>_xlfn.XLOOKUP(A59,'United MAMP All Components'!A:A,'United MAMP All Components'!AO:AO)</f>
        <v>0.00</v>
      </c>
      <c r="AU59" s="10">
        <f t="shared" si="14"/>
        <v>0</v>
      </c>
      <c r="AV59" s="10">
        <f>_xlfn.XLOOKUP(A59,'Icyte Report'!A:A,'Icyte Report'!AV:AV)</f>
        <v>0</v>
      </c>
      <c r="AW59" s="10" t="str">
        <f>_xlfn.XLOOKUP(A59,'United MAMP All Components'!A:A,'United MAMP All Components'!AP:AP)</f>
        <v>0.00</v>
      </c>
      <c r="AX59" s="10">
        <f t="shared" si="15"/>
        <v>0</v>
      </c>
      <c r="AY59" s="10">
        <f>_xlfn.XLOOKUP(A59,'Icyte Report'!A:A,'Icyte Report'!BH:BH)</f>
        <v>0</v>
      </c>
      <c r="AZ59" s="10" t="e">
        <f>_xlfn.XLOOKUP(A59,'United Smoothed Indirect Inelig'!A:A,'United Smoothed Indirect Inelig'!D:D)</f>
        <v>#N/A</v>
      </c>
      <c r="BA59" s="10" t="e">
        <f t="shared" si="16"/>
        <v>#N/A</v>
      </c>
      <c r="BB59" s="10">
        <f>_xlfn.XLOOKUP(A59,'Icyte Report'!A:A,'Icyte Report'!BK:BK)</f>
        <v>11300</v>
      </c>
      <c r="BC59" s="10" t="e">
        <f t="shared" si="17"/>
        <v>#N/A</v>
      </c>
      <c r="BD59" s="10">
        <f>_xlfn.XLOOKUP(A59,'Icyte Report'!A:A,'Icyte Report'!BN:BN)</f>
        <v>0</v>
      </c>
      <c r="BE59" s="10" t="e">
        <f>_xlfn.XLOOKUP(A59,'United Smoothed Indirect Inelig'!A:A,'United Smoothed Indirect Inelig'!C:C)</f>
        <v>#N/A</v>
      </c>
      <c r="BF59" s="10" t="e">
        <f t="shared" si="18"/>
        <v>#N/A</v>
      </c>
      <c r="BG59" s="10">
        <f>_xlfn.XLOOKUP(A59,'Icyte Report'!A:A,'Icyte Report'!BR:BR)</f>
        <v>0</v>
      </c>
      <c r="BH59" s="10" t="e">
        <f>_xlfn.XLOOKUP(A59,'United Smoothed Indirect Inelig'!A:A,'United Smoothed Indirect Inelig'!B:B)</f>
        <v>#N/A</v>
      </c>
      <c r="BI59" s="10" t="e">
        <f t="shared" si="19"/>
        <v>#N/A</v>
      </c>
      <c r="BJ59" s="10">
        <f>_xlfn.XLOOKUP(A59,'Icyte Report'!A:A,'Icyte Report'!BV:BV)</f>
        <v>0.25259999999999999</v>
      </c>
      <c r="BK59" s="10" t="e">
        <f>_xlfn.XLOOKUP(A59,'United Smoothed Indirect Inelig'!A:A,'United Smoothed Indirect Inelig'!P:P)</f>
        <v>#N/A</v>
      </c>
      <c r="BL59" s="10" t="e">
        <f t="shared" si="20"/>
        <v>#N/A</v>
      </c>
      <c r="BM59" s="13">
        <f>_xlfn.XLOOKUP(A59,'Icyte Report'!A:A,'Icyte Report'!BW:BW)</f>
        <v>7.7522065489999997E-4</v>
      </c>
      <c r="BN59" s="13" t="e">
        <f>_xlfn.XLOOKUP(A59,'United Smoothed Indirect Inelig'!A:A,'United Smoothed Indirect Inelig'!G:G)+_xlfn.XLOOKUP(A59,'United Smoothed Indirect Inelig'!A:A,'United Smoothed Indirect Inelig'!H:H) + _xlfn.XLOOKUP(A59,'United Smoothed Indirect Inelig'!A:A,'United Smoothed Indirect Inelig'!I:I)+_xlfn.XLOOKUP(A59,'United Smoothed Indirect Inelig'!A:A,'United Smoothed Indirect Inelig'!J:J)</f>
        <v>#N/A</v>
      </c>
      <c r="BO59" s="18" t="e">
        <f t="shared" si="21"/>
        <v>#N/A</v>
      </c>
      <c r="BP59" s="10">
        <f>_xlfn.XLOOKUP(A59,'Icyte Report'!A:A,'Icyte Report'!BY:BY)</f>
        <v>982.97979040914845</v>
      </c>
      <c r="BQ59" s="10" t="e">
        <f>_xlfn.XLOOKUP(A59,'United Smoothed Indirect Inelig'!A:A,'United Smoothed Indirect Inelig'!L:L)+_xlfn.XLOOKUP(A59,'United Smoothed Indirect Inelig'!A:A,'United Smoothed Indirect Inelig'!M:M) + _xlfn.XLOOKUP(A59,'United Smoothed Indirect Inelig'!A:A,'United Smoothed Indirect Inelig'!N:N)+_xlfn.XLOOKUP(A59,'United Smoothed Indirect Inelig'!A:A,'United Smoothed Indirect Inelig'!O:O)</f>
        <v>#N/A</v>
      </c>
      <c r="BR59" s="10" t="e">
        <f t="shared" si="22"/>
        <v>#N/A</v>
      </c>
      <c r="BS59" s="10">
        <f>_xlfn.XLOOKUP(A59,'Icyte Report'!A:A,'Icyte Report'!BZ:BZ)</f>
        <v>320048.49930494273</v>
      </c>
      <c r="BT59" s="10" t="str">
        <f>_xlfn.XLOOKUP(A59,'United MAMP All Components'!A:A,'United MAMP All Components'!AL:AL)</f>
        <v>471,077.01</v>
      </c>
      <c r="BU59" s="10">
        <f t="shared" si="23"/>
        <v>-151028.51069505728</v>
      </c>
      <c r="BV59" s="26">
        <f>_xlfn.XLOOKUP(A59,'Icyte Report'!A:A,'Icyte Report'!CA:CA)</f>
        <v>1267017.0202095909</v>
      </c>
      <c r="BW59" s="22" t="str">
        <f>_xlfn.XLOOKUP(A59,'United MAMP All Components'!A:A,'United MAMP All Components'!AM:AM)</f>
        <v>1,864,912.96</v>
      </c>
      <c r="BX59" s="10">
        <f t="shared" si="24"/>
        <v>-597895.93979040906</v>
      </c>
      <c r="BY59" s="10">
        <f>_xlfn.XLOOKUP(A59,'Icyte Report'!A:A,'Icyte Report'!CD:CD)</f>
        <v>0</v>
      </c>
      <c r="BZ59" s="10" t="str">
        <f>_xlfn.XLOOKUP(A59,'United_Smoothed Price Concessio'!A:A,'United_Smoothed Price Concessio'!D:D)</f>
        <v>$0.00</v>
      </c>
      <c r="CA59" s="10">
        <f t="shared" si="25"/>
        <v>0</v>
      </c>
      <c r="CB59" s="10">
        <f>_xlfn.XLOOKUP(A59,'Icyte Report'!A:A,'Icyte Report'!CF:CF)</f>
        <v>14576495</v>
      </c>
      <c r="CC59" s="10" t="e">
        <f>_xlfn.XLOOKUP(A59,'United Smoothed Indirect Inelig'!A:A,'United Smoothed Indirect Inelig'!F:F)</f>
        <v>#N/A</v>
      </c>
      <c r="CD59" s="10" t="e">
        <f t="shared" si="26"/>
        <v>#N/A</v>
      </c>
      <c r="CE59" s="10">
        <f>_xlfn.XLOOKUP(A59,'Icyte Report'!A:A,'Icyte Report'!CL:CL)</f>
        <v>3652772.82</v>
      </c>
      <c r="CF59" s="10" t="str">
        <f>_xlfn.XLOOKUP(A59,'United_Smoothed Price Concessio'!A:A,'United_Smoothed Price Concessio'!H:H)</f>
        <v>$4,120,663.80</v>
      </c>
      <c r="CG59" s="10">
        <f t="shared" si="27"/>
        <v>-467890.98</v>
      </c>
      <c r="CH59" s="10">
        <f>_xlfn.XLOOKUP(A59,'Icyte Report'!A:A,'Icyte Report'!CY:CY)</f>
        <v>0</v>
      </c>
      <c r="CI59" s="10" t="str">
        <f>_xlfn.XLOOKUP(A59,'United_Smoothed Price Concessio'!A:A,'United_Smoothed Price Concessio'!C:C)</f>
        <v>$0.00</v>
      </c>
      <c r="CJ59" s="10">
        <f t="shared" si="28"/>
        <v>0</v>
      </c>
      <c r="CK59" s="10">
        <f>_xlfn.XLOOKUP(A59,'Icyte Report'!A:A,'Icyte Report'!CZ:CZ)</f>
        <v>0</v>
      </c>
      <c r="CL59" s="10" t="str">
        <f>_xlfn.XLOOKUP(A59,'United_Smoothed Price Concessio'!A:A,'United_Smoothed Price Concessio'!G:G)</f>
        <v>$0.00</v>
      </c>
      <c r="CM59" s="10">
        <f t="shared" si="29"/>
        <v>0</v>
      </c>
      <c r="CN59" s="13">
        <f>_xlfn.XLOOKUP(A59,'Icyte Report'!A:A,'Icyte Report'!DA:DA)</f>
        <v>0</v>
      </c>
      <c r="CO59" s="13" t="str">
        <f>_xlfn.XLOOKUP(A59,'United_Smoothed Price Concessio'!A:A,'United_Smoothed Price Concessio'!I:I)</f>
        <v>0.000000%</v>
      </c>
      <c r="CP59" s="10">
        <f t="shared" si="30"/>
        <v>0</v>
      </c>
      <c r="CQ59" s="10">
        <f>_xlfn.XLOOKUP(A59,'Icyte Report'!A:A,'Icyte Report'!DB:DB)</f>
        <v>0</v>
      </c>
      <c r="CR59" s="10" t="str">
        <f>_xlfn.XLOOKUP(A59,'United MAMP All Components'!A:A,'United MAMP All Components'!AX:AX)</f>
        <v>0.00</v>
      </c>
      <c r="CS59" s="10">
        <f t="shared" si="31"/>
        <v>0</v>
      </c>
      <c r="CT59" s="10">
        <f>_xlfn.XLOOKUP(A59,'Icyte Report'!A:A,'Icyte Report'!DC:DC)</f>
        <v>6400.969986098853</v>
      </c>
      <c r="CU59" s="10" t="str">
        <f>_xlfn.XLOOKUP(A59,'United MAMP All Components'!A:A,'United MAMP All Components'!BA:BA)</f>
        <v>9,421.54</v>
      </c>
      <c r="CV59" s="10">
        <f t="shared" si="32"/>
        <v>-3020.5700139011478</v>
      </c>
      <c r="CW59" s="10">
        <f>_xlfn.XLOOKUP(A59,'Icyte Report'!A:A,'Icyte Report'!DD:DD)</f>
        <v>313647.52931884379</v>
      </c>
      <c r="CX59" s="10" t="str">
        <f>_xlfn.XLOOKUP(A59,'United MAMP All Components'!A:A,'United MAMP All Components'!BD:BD)</f>
        <v>461,655.47</v>
      </c>
      <c r="CY59" s="10">
        <f t="shared" si="33"/>
        <v>-148007.94068115618</v>
      </c>
      <c r="CZ59" s="10">
        <f>_xlfn.XLOOKUP(A59,'Icyte Report'!A:A,'Icyte Report'!DE:DE)</f>
        <v>1267017.0202095909</v>
      </c>
      <c r="DA59" s="10" t="str">
        <f>_xlfn.XLOOKUP(A59,'United MAMP All Components'!A:A,'United MAMP All Components'!BE:BE)</f>
        <v>1,864,912.96</v>
      </c>
      <c r="DB59" s="10">
        <f t="shared" si="34"/>
        <v>-597895.93979040906</v>
      </c>
      <c r="DC59" s="10">
        <f>_xlfn.XLOOKUP(A59,'Icyte Report'!A:A,'Icyte Report'!DI:DI)</f>
        <v>0.24754799999999999</v>
      </c>
      <c r="DD59" s="10" t="str">
        <f>_xlfn.XLOOKUP(A59,'United MAMP All Components'!A:A,'United MAMP All Components'!BG:BG)</f>
        <v>0.247548</v>
      </c>
      <c r="DE59" s="10">
        <f t="shared" si="35"/>
        <v>0</v>
      </c>
    </row>
  </sheetData>
  <autoFilter ref="A4:DE59" xr:uid="{C30B62CE-F3C9-463E-9C05-BED0C3CF1C01}"/>
  <mergeCells count="1">
    <mergeCell ref="BM2:B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Mapping</vt:lpstr>
      <vt:lpstr>United MAMP All Components</vt:lpstr>
      <vt:lpstr>United Smoothed Indirect Inelig</vt:lpstr>
      <vt:lpstr>United_Smoothed Price Concessio</vt:lpstr>
      <vt:lpstr>Icyte Report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Shridhar Umarani</cp:lastModifiedBy>
  <dcterms:created xsi:type="dcterms:W3CDTF">2025-07-02T20:23:12Z</dcterms:created>
  <dcterms:modified xsi:type="dcterms:W3CDTF">2025-07-24T12:27:22Z</dcterms:modified>
</cp:coreProperties>
</file>